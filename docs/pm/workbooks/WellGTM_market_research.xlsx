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untry_Data" sheetId="2" state="visible" r:id="rId2"/>
    <sheet xmlns:r="http://schemas.openxmlformats.org/officeDocument/2006/relationships" name="Korea_Exports_HS" sheetId="3" state="visible" r:id="rId3"/>
    <sheet xmlns:r="http://schemas.openxmlformats.org/officeDocument/2006/relationships" name="TAM_SAM_SOM" sheetId="4" state="visible" r:id="rId4"/>
    <sheet xmlns:r="http://schemas.openxmlformats.org/officeDocument/2006/relationships" name="Competitors" sheetId="5" state="visible" r:id="rId5"/>
    <sheet xmlns:r="http://schemas.openxmlformats.org/officeDocument/2006/relationships" name="Market_Trends" sheetId="6" state="visible" r:id="rId6"/>
    <sheet xmlns:r="http://schemas.openxmlformats.org/officeDocument/2006/relationships" name="ROI_Model" sheetId="7" state="visible" r:id="rId7"/>
    <sheet xmlns:r="http://schemas.openxmlformats.org/officeDocument/2006/relationships" name="VPC_Fit" sheetId="8" state="visible" r:id="rId8"/>
    <sheet xmlns:r="http://schemas.openxmlformats.org/officeDocument/2006/relationships" name="Personas" sheetId="9" state="visible" r:id="rId9"/>
    <sheet xmlns:r="http://schemas.openxmlformats.org/officeDocument/2006/relationships" name="Interview_Plan" sheetId="10" state="visible" r:id="rId10"/>
    <sheet xmlns:r="http://schemas.openxmlformats.org/officeDocument/2006/relationships" name="Interview_Log" sheetId="11" state="visible" r:id="rId11"/>
    <sheet xmlns:r="http://schemas.openxmlformats.org/officeDocument/2006/relationships" name="Survey_Responses" sheetId="12" state="visible" r:id="rId12"/>
    <sheet xmlns:r="http://schemas.openxmlformats.org/officeDocument/2006/relationships" name="Survey_Analysis" sheetId="13" state="visible" r:id="rId13"/>
    <sheet xmlns:r="http://schemas.openxmlformats.org/officeDocument/2006/relationships" name="Insight_Synthesis" sheetId="14" state="visible" r:id="rId14"/>
    <sheet xmlns:r="http://schemas.openxmlformats.org/officeDocument/2006/relationships" name="Roadmap" sheetId="15" state="visible" r:id="rId15"/>
  </sheets>
  <definedNames>
    <definedName name="_xlnm._FilterDatabase" localSheetId="1" hidden="1">'Country_Data'!$A$4:$Q$34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yyyy-mm-dd"/>
  </numFmts>
  <fonts count="7">
    <font>
      <name val="Calibri"/>
      <family val="2"/>
      <color theme="1"/>
      <sz val="11"/>
      <scheme val="minor"/>
    </font>
    <font>
      <b val="1"/>
      <color rgb="001F3A5F"/>
      <sz val="14"/>
    </font>
    <font>
      <i val="1"/>
      <color rgb="00595959"/>
    </font>
    <font>
      <b val="1"/>
      <color rgb="00FFFFFF"/>
    </font>
    <font>
      <b val="1"/>
    </font>
    <font>
      <b val="1"/>
      <sz val="12"/>
    </font>
    <font>
      <i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1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3" fontId="0" fillId="0" borderId="1" pivotButton="0" quotePrefix="0" xfId="0"/>
    <xf numFmtId="166" fontId="0" fillId="0" borderId="1" pivotButton="0" quotePrefix="0" xfId="0"/>
    <xf numFmtId="2" fontId="0" fillId="0" borderId="1" pivotButton="0" quotePrefix="0" xfId="0"/>
    <xf numFmtId="49" fontId="0" fillId="0" borderId="1" pivotButton="0" quotePrefix="0" xfId="0"/>
    <xf numFmtId="9" fontId="0" fillId="0" borderId="1" pivotButton="0" quotePrefix="0" xfId="0"/>
    <xf numFmtId="164" fontId="0" fillId="0" borderId="0" pivotButton="0" quotePrefix="0" xfId="0"/>
    <xf numFmtId="0" fontId="4" fillId="0" borderId="0" pivotButton="0" quotePrefix="0" xfId="0"/>
    <xf numFmtId="165" fontId="0" fillId="3" borderId="0" pivotButton="0" quotePrefix="0" xfId="0"/>
    <xf numFmtId="0" fontId="0" fillId="4" borderId="1" pivotButton="0" quotePrefix="0" xfId="0"/>
    <xf numFmtId="164" fontId="0" fillId="3" borderId="0" pivotButton="0" quotePrefix="0" xfId="0"/>
    <xf numFmtId="10" fontId="0" fillId="3" borderId="0" pivotButton="0" quotePrefix="0" xfId="0"/>
    <xf numFmtId="0" fontId="5" fillId="0" borderId="0" pivotButton="0" quotePrefix="0" xfId="0"/>
    <xf numFmtId="10" fontId="0" fillId="4" borderId="0" pivotButton="0" quotePrefix="0" xfId="0"/>
    <xf numFmtId="0" fontId="0" fillId="4" borderId="0" pivotButton="0" quotePrefix="0" xfId="0"/>
    <xf numFmtId="3" fontId="0" fillId="4" borderId="1" pivotButton="0" quotePrefix="0" xfId="0"/>
    <xf numFmtId="164" fontId="0" fillId="4" borderId="1" pivotButton="0" quotePrefix="0" xfId="0"/>
    <xf numFmtId="9" fontId="0" fillId="4" borderId="1" pivotButton="0" quotePrefix="0" xfId="0"/>
    <xf numFmtId="3" fontId="0" fillId="3" borderId="1" pivotButton="0" quotePrefix="0" xfId="0"/>
    <xf numFmtId="0" fontId="4" fillId="0" borderId="1" pivotButton="0" quotePrefix="0" xfId="0"/>
    <xf numFmtId="9" fontId="0" fillId="3" borderId="1" pivotButton="0" quotePrefix="0" xfId="0"/>
    <xf numFmtId="166" fontId="0" fillId="3" borderId="1" pivotButton="0" quotePrefix="0" xfId="0"/>
    <xf numFmtId="0" fontId="0" fillId="4" borderId="1" applyAlignment="1" pivotButton="0" quotePrefix="0" xfId="0">
      <alignment vertical="top" wrapText="1"/>
    </xf>
    <xf numFmtId="0" fontId="0" fillId="3" borderId="0" pivotButton="0" quotePrefix="0" xfId="0"/>
    <xf numFmtId="9" fontId="0" fillId="0" borderId="0" pivotButton="0" quotePrefix="0" xfId="0"/>
    <xf numFmtId="0" fontId="4" fillId="0" borderId="0" applyAlignment="1" pivotButton="0" quotePrefix="0" xfId="0">
      <alignment vertical="top" wrapText="1"/>
    </xf>
    <xf numFmtId="9" fontId="0" fillId="3" borderId="0" pivotButton="0" quotePrefix="0" xfId="0"/>
    <xf numFmtId="2" fontId="0" fillId="3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  <xf numFmtId="167" fontId="0" fillId="0" borderId="0" pivotButton="0" quotePrefix="0" xfId="0"/>
    <xf numFmtId="167" fontId="4" fillId="0" borderId="1" pivotButton="0" quotePrefix="0" xfId="0"/>
    <xf numFmtId="167" fontId="0" fillId="0" borderId="1" pivotButton="0" quotePrefix="0" xfId="0"/>
  </cellXfs>
  <cellStyles count="1">
    <cellStyle name="Normal" xfId="0" builtinId="0" hidden="0"/>
  </cellStyles>
  <dxfs count="4">
    <dxf>
      <fill>
        <patternFill patternType="solid">
          <fgColor rgb="00C00000"/>
        </patternFill>
      </fill>
    </dxf>
    <dxf>
      <fill>
        <patternFill patternType="solid">
          <fgColor rgb="007030A0"/>
        </patternFill>
      </fill>
    </dxf>
    <dxf>
      <fill>
        <patternFill patternType="solid">
          <fgColor rgb="00808080"/>
        </patternFill>
      </fill>
    </dxf>
    <dxf>
      <fill>
        <patternFill patternType="solid">
          <fgColor rgb="002E75B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90" customWidth="1" min="2" max="2"/>
    <col width="45" customWidth="1" min="3" max="3"/>
  </cols>
  <sheetData>
    <row r="1">
      <c r="A1" s="1" t="inlineStr">
        <is>
          <t>WellGTM — Market Research Workbook</t>
        </is>
      </c>
    </row>
    <row r="2">
      <c r="A2" s="2" t="inlineStr">
        <is>
          <t>Generated by analysis/build_pm_artifacts.py. Yellow cells = editable inputs; green = formulas.</t>
        </is>
      </c>
    </row>
    <row r="4">
      <c r="A4" s="3" t="inlineStr">
        <is>
          <t>Sheet</t>
        </is>
      </c>
      <c r="B4" s="3" t="inlineStr">
        <is>
          <t>Contents</t>
        </is>
      </c>
      <c r="C4" s="3" t="inlineStr">
        <is>
          <t>Related document</t>
        </is>
      </c>
    </row>
    <row r="5">
      <c r="A5" s="4" t="inlineStr">
        <is>
          <t>Country_Data</t>
        </is>
      </c>
      <c r="B5" s="4" t="inlineStr">
        <is>
          <t>Indicators for 30 candidate markets (UN Comtrade, World Bank) + preliminary screening scores</t>
        </is>
      </c>
      <c r="C5" s="4" t="inlineStr">
        <is>
          <t>docs/pm/03_data_analysis.md</t>
        </is>
      </c>
    </row>
    <row r="6">
      <c r="A6" s="4" t="inlineStr">
        <is>
          <t>Korea_Exports_HS</t>
        </is>
      </c>
      <c r="B6" s="4" t="inlineStr">
        <is>
          <t>Korea's exports by category 2015-2025 (US$ M, Korea-reported)</t>
        </is>
      </c>
      <c r="C6" s="4" t="inlineStr">
        <is>
          <t>docs/pm/03_data_analysis.md</t>
        </is>
      </c>
    </row>
    <row r="7">
      <c r="A7" s="4" t="inlineStr">
        <is>
          <t>TAM_SAM_SOM</t>
        </is>
      </c>
      <c r="B7" s="4" t="inlineStr">
        <is>
          <t>Market sizing with editable SAM membership and SOM share-gain scenarios (formulas)</t>
        </is>
      </c>
      <c r="C7" s="4" t="inlineStr">
        <is>
          <t>docs/pm/02_market_analysis.md §8</t>
        </is>
      </c>
    </row>
    <row r="8">
      <c r="A8" s="4" t="inlineStr">
        <is>
          <t>Competitors</t>
        </is>
      </c>
      <c r="B8" s="4" t="inlineStr">
        <is>
          <t>Competitor &amp; alternative analysis</t>
        </is>
      </c>
      <c r="C8" s="4" t="inlineStr">
        <is>
          <t>docs/pm/09_market_research_report.md §3</t>
        </is>
      </c>
    </row>
    <row r="9">
      <c r="A9" s="4" t="inlineStr">
        <is>
          <t>Market_Trends</t>
        </is>
      </c>
      <c r="B9" s="4" t="inlineStr">
        <is>
          <t>B2B and K-food market trends with sources</t>
        </is>
      </c>
      <c r="C9" s="4" t="inlineStr">
        <is>
          <t>docs/pm/09_market_research_report.md §2</t>
        </is>
      </c>
    </row>
    <row r="10">
      <c r="A10" s="4" t="inlineStr">
        <is>
          <t>ROI_Model</t>
        </is>
      </c>
      <c r="B10" s="4" t="inlineStr">
        <is>
          <t>Illustrative ROI model; all inputs are placeholder assumptions</t>
        </is>
      </c>
      <c r="C10" s="4" t="inlineStr">
        <is>
          <t>docs/pm/08_value_proposition_canvas.md §4</t>
        </is>
      </c>
    </row>
    <row r="11">
      <c r="A11" s="4" t="inlineStr">
        <is>
          <t>VPC_Fit</t>
        </is>
      </c>
      <c r="B11" s="4" t="inlineStr">
        <is>
          <t>Value proposition canvas fit map (pain → reliever → feature → proof)</t>
        </is>
      </c>
      <c r="C11" s="4" t="inlineStr">
        <is>
          <t>docs/pm/08_value_proposition_canvas.md</t>
        </is>
      </c>
    </row>
    <row r="12">
      <c r="A12" s="4" t="inlineStr">
        <is>
          <t>Personas</t>
        </is>
      </c>
      <c r="B12" s="4" t="inlineStr">
        <is>
          <t>Persona summary</t>
        </is>
      </c>
      <c r="C12" s="4" t="inlineStr">
        <is>
          <t>docs/pm/10_user_personas.md</t>
        </is>
      </c>
    </row>
    <row r="13">
      <c r="A13" s="4" t="inlineStr">
        <is>
          <t>Interview_Plan</t>
        </is>
      </c>
      <c r="B13" s="4" t="inlineStr">
        <is>
          <t>Recruitment targets per persona and status tracker</t>
        </is>
      </c>
      <c r="C13" s="4" t="inlineStr">
        <is>
          <t>docs/pm/09_market_research_report.md §6</t>
        </is>
      </c>
    </row>
    <row r="14">
      <c r="A14" s="4" t="inlineStr">
        <is>
          <t>Interview_Log</t>
        </is>
      </c>
      <c r="B14" s="4" t="inlineStr">
        <is>
          <t>One row per interview; paste notes, tag pains/gains</t>
        </is>
      </c>
      <c r="C14" s="4" t="inlineStr">
        <is>
          <t>docs/pm/09_market_research_report.md §6</t>
        </is>
      </c>
    </row>
    <row r="15">
      <c r="A15" s="4" t="inlineStr">
        <is>
          <t>Survey_Responses</t>
        </is>
      </c>
      <c r="B15" s="4" t="inlineStr">
        <is>
          <t>Paste the Microsoft Forms export (Open in Excel) here; headers match the survey</t>
        </is>
      </c>
      <c r="C15" s="4" t="inlineStr">
        <is>
          <t>workbooks/WellGTM_client_survey_for_MS_Forms.docx</t>
        </is>
      </c>
    </row>
    <row r="16">
      <c r="A16" s="4" t="inlineStr">
        <is>
          <t>Survey_Analysis</t>
        </is>
      </c>
      <c r="B16" s="4" t="inlineStr">
        <is>
          <t>Auto-calculated counts, averages and top-2-box scores</t>
        </is>
      </c>
      <c r="C16" s="4" t="inlineStr">
        <is>
          <t>—</t>
        </is>
      </c>
    </row>
    <row r="17">
      <c r="A17" s="4" t="inlineStr">
        <is>
          <t>Insight_Synthesis</t>
        </is>
      </c>
      <c r="B17" s="4" t="inlineStr">
        <is>
          <t>Hypotheses → evidence → status (affinity mapping)</t>
        </is>
      </c>
      <c r="C17" s="4" t="inlineStr">
        <is>
          <t>docs/pm/09_market_research_report.md §5</t>
        </is>
      </c>
    </row>
    <row r="18">
      <c r="A18" s="4" t="inlineStr">
        <is>
          <t>Roadmap</t>
        </is>
      </c>
      <c r="B18" s="4" t="inlineStr">
        <is>
          <t>Release plan with monthly Gantt grid (conditional formatting)</t>
        </is>
      </c>
      <c r="C18" s="4" t="inlineStr">
        <is>
          <t>docs/pm/11_product_roadmap.md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Candidate market indicators</t>
        </is>
      </c>
    </row>
    <row r="2">
      <c r="A2" s="2" t="inlineStr">
        <is>
          <t>Sources: UN Comtrade public API, World Bank WDI (retrieved 2026-10-29). Hubs flagged; RUS sanctioned; TWN not a Comtrade reporter.</t>
        </is>
      </c>
    </row>
    <row r="4">
      <c r="A4" s="3" t="inlineStr">
        <is>
          <t>ISO3</t>
        </is>
      </c>
      <c r="B4" s="3" t="inlineStr">
        <is>
          <t>Latest import year</t>
        </is>
      </c>
      <c r="C4" s="3" t="inlineStr">
        <is>
          <t>Category imports (US$ M)</t>
        </is>
      </c>
      <c r="D4" s="3" t="inlineStr">
        <is>
          <t>Import value CAGR 5y</t>
        </is>
      </c>
      <c r="E4" s="3" t="inlineStr">
        <is>
          <t>Import volume CAGR 5y</t>
        </is>
      </c>
      <c r="F4" s="3" t="inlineStr">
        <is>
          <t>Unit price CAGR 5y</t>
        </is>
      </c>
      <c r="G4" s="3" t="inlineStr">
        <is>
          <t>Imports from Korea (US$ M, partner-reported)</t>
        </is>
      </c>
      <c r="H4" s="3" t="inlineStr">
        <is>
          <t>Korea share of imports</t>
        </is>
      </c>
      <c r="I4" s="3" t="inlineStr">
        <is>
          <t>Korea exports 2025 (US$ M, Korea-reported)</t>
        </is>
      </c>
      <c r="J4" s="3" t="inlineStr">
        <is>
          <t>Korea export CAGR 2020-25</t>
        </is>
      </c>
      <c r="K4" s="3" t="inlineStr">
        <is>
          <t>GDP per capita (US$)</t>
        </is>
      </c>
      <c r="L4" s="3" t="inlineStr">
        <is>
          <t>Population (M)</t>
        </is>
      </c>
      <c r="M4" s="3" t="inlineStr">
        <is>
          <t>GDP growth avg 2021-25 (%)</t>
        </is>
      </c>
      <c r="N4" s="3" t="inlineStr">
        <is>
          <t>LPI score</t>
        </is>
      </c>
      <c r="O4" s="3" t="inlineStr">
        <is>
          <t>Re-export hub</t>
        </is>
      </c>
      <c r="P4" s="3" t="inlineStr">
        <is>
          <t>Preliminary score (0-100)</t>
        </is>
      </c>
      <c r="Q4" s="3" t="inlineStr">
        <is>
          <t>P(TOP3) random weights</t>
        </is>
      </c>
    </row>
    <row r="5">
      <c r="A5" s="5" t="inlineStr">
        <is>
          <t>USA</t>
        </is>
      </c>
      <c r="B5" s="6" t="n">
        <v>2025</v>
      </c>
      <c r="C5" s="7" t="n">
        <v>20938.478741</v>
      </c>
      <c r="D5" s="8" t="n">
        <v>0.1278307402576763</v>
      </c>
      <c r="E5" s="8" t="n">
        <v>0.0548103718093224</v>
      </c>
      <c r="F5" s="8" t="n">
        <v>0.0692260622381837</v>
      </c>
      <c r="G5" s="7" t="n">
        <v>204.534234</v>
      </c>
      <c r="H5" s="8" t="n">
        <v>0.009768342606452001</v>
      </c>
      <c r="I5" s="7" t="n">
        <v>198.838167</v>
      </c>
      <c r="J5" s="8" t="n">
        <v>0.1250317717309743</v>
      </c>
      <c r="K5" s="9" t="n">
        <v>90026.5163005744</v>
      </c>
      <c r="L5" s="7" t="n">
        <v>341.784857</v>
      </c>
      <c r="M5" s="10" t="n">
        <v>3.313033732737201</v>
      </c>
      <c r="N5" s="11" t="n">
        <v>3.8</v>
      </c>
      <c r="O5" s="12" t="inlineStr"/>
      <c r="P5" s="10" t="n">
        <v>77.30307362066088</v>
      </c>
      <c r="Q5" s="13" t="n">
        <v>0.8668</v>
      </c>
    </row>
    <row r="6">
      <c r="A6" s="5" t="inlineStr">
        <is>
          <t>JPN</t>
        </is>
      </c>
      <c r="B6" s="6" t="n">
        <v>2025</v>
      </c>
      <c r="C6" s="7" t="n">
        <v>1600.268310096</v>
      </c>
      <c r="D6" s="8" t="n">
        <v>0.0719557438179201</v>
      </c>
      <c r="E6" s="8" t="n">
        <v>0.0031418865753116</v>
      </c>
      <c r="F6" s="8" t="n">
        <v>0.068598329073404</v>
      </c>
      <c r="G6" s="7" t="n">
        <v>107.117377449</v>
      </c>
      <c r="H6" s="8" t="n">
        <v>0.066937135962265</v>
      </c>
      <c r="I6" s="7" t="n">
        <v>147.880176</v>
      </c>
      <c r="J6" s="8" t="n">
        <v>0.0363223618965864</v>
      </c>
      <c r="K6" s="9" t="n">
        <v>35951.0449549304</v>
      </c>
      <c r="L6" s="7" t="n">
        <v>123.366734</v>
      </c>
      <c r="M6" s="10" t="n">
        <v>1.313931354887253</v>
      </c>
      <c r="N6" s="11" t="n">
        <v>3.9</v>
      </c>
      <c r="O6" s="12" t="inlineStr"/>
      <c r="P6" s="10" t="n">
        <v>56.87825785027955</v>
      </c>
      <c r="Q6" s="13" t="n">
        <v>0.094</v>
      </c>
    </row>
    <row r="7">
      <c r="A7" s="5" t="inlineStr">
        <is>
          <t>CHN</t>
        </is>
      </c>
      <c r="B7" s="6" t="n">
        <v>2025</v>
      </c>
      <c r="C7" s="7" t="n">
        <v>2071.555162</v>
      </c>
      <c r="D7" s="8" t="n">
        <v>0.0457058342872918</v>
      </c>
      <c r="E7" s="8" t="n">
        <v>-0.0078997274414465</v>
      </c>
      <c r="F7" s="8" t="n">
        <v>0.0540324029853287</v>
      </c>
      <c r="G7" s="7" t="n">
        <v>93.930646</v>
      </c>
      <c r="H7" s="8" t="n">
        <v>0.0453430580672125</v>
      </c>
      <c r="I7" s="7" t="n">
        <v>101.431245</v>
      </c>
      <c r="J7" s="8" t="n">
        <v>0.0532889693047018</v>
      </c>
      <c r="K7" s="9" t="n">
        <v>13861.970224368</v>
      </c>
      <c r="L7" s="7" t="n">
        <v>1406.585</v>
      </c>
      <c r="M7" s="10" t="n">
        <v>5.407698905795776</v>
      </c>
      <c r="N7" s="11" t="n">
        <v>3.7</v>
      </c>
      <c r="O7" s="12" t="inlineStr"/>
      <c r="P7" s="10" t="n">
        <v>73.42088192497896</v>
      </c>
      <c r="Q7" s="13" t="n">
        <v>0.7532</v>
      </c>
    </row>
    <row r="8">
      <c r="A8" s="5" t="inlineStr">
        <is>
          <t>CAN</t>
        </is>
      </c>
      <c r="B8" s="6" t="n">
        <v>2025</v>
      </c>
      <c r="C8" s="7" t="n">
        <v>4964.210731907001</v>
      </c>
      <c r="D8" s="8" t="n">
        <v>0.0983191481827161</v>
      </c>
      <c r="E8" s="8" t="n">
        <v>0.0149270523362601</v>
      </c>
      <c r="F8" s="8" t="n">
        <v>0.0821656055521387</v>
      </c>
      <c r="G8" s="7" t="n">
        <v>42.41360951999999</v>
      </c>
      <c r="H8" s="8" t="n">
        <v>0.0085438777301274</v>
      </c>
      <c r="I8" s="7" t="n">
        <v>36.62268</v>
      </c>
      <c r="J8" s="8" t="n">
        <v>0.1408928737041308</v>
      </c>
      <c r="K8" s="9" t="n">
        <v>55697.6639660837</v>
      </c>
      <c r="L8" s="7" t="n">
        <v>41.651653</v>
      </c>
      <c r="M8" s="10" t="n">
        <v>3.277596967614192</v>
      </c>
      <c r="N8" s="11" t="n">
        <v>4</v>
      </c>
      <c r="O8" s="12" t="inlineStr"/>
      <c r="P8" s="10" t="n">
        <v>61.85816225491407</v>
      </c>
      <c r="Q8" s="13" t="n">
        <v>0.3868</v>
      </c>
    </row>
    <row r="9">
      <c r="A9" s="5" t="inlineStr">
        <is>
          <t>PHL</t>
        </is>
      </c>
      <c r="B9" s="6" t="n">
        <v>2025</v>
      </c>
      <c r="C9" s="7" t="n">
        <v>844.660748</v>
      </c>
      <c r="D9" s="8" t="n">
        <v>0.1476915899793371</v>
      </c>
      <c r="E9" s="8" t="n">
        <v>0.1025737659714718</v>
      </c>
      <c r="F9" s="8" t="n">
        <v>0.0409204584766373</v>
      </c>
      <c r="G9" s="7" t="n">
        <v>10.312898</v>
      </c>
      <c r="H9" s="8" t="n">
        <v>0.0122095149140279</v>
      </c>
      <c r="I9" s="7" t="n">
        <v>33.368027</v>
      </c>
      <c r="J9" s="8" t="n">
        <v>0.1970989578456368</v>
      </c>
      <c r="K9" s="9" t="n">
        <v>4170.72347271451</v>
      </c>
      <c r="L9" s="7" t="n">
        <v>116.786962</v>
      </c>
      <c r="M9" s="10" t="n">
        <v>5.78636235733199</v>
      </c>
      <c r="N9" s="11" t="n">
        <v>3.3</v>
      </c>
      <c r="O9" s="12" t="inlineStr"/>
      <c r="P9" s="10" t="n">
        <v>65.35417511657504</v>
      </c>
      <c r="Q9" s="13" t="n">
        <v>0.2066</v>
      </c>
    </row>
    <row r="10">
      <c r="A10" s="5" t="inlineStr">
        <is>
          <t>TWN</t>
        </is>
      </c>
      <c r="B10" s="6" t="n"/>
      <c r="C10" s="7" t="n"/>
      <c r="D10" s="8" t="n"/>
      <c r="E10" s="8" t="n"/>
      <c r="F10" s="8" t="n"/>
      <c r="G10" s="7" t="n"/>
      <c r="H10" s="8" t="n"/>
      <c r="I10" s="7" t="n">
        <v>30.990338</v>
      </c>
      <c r="J10" s="8" t="n">
        <v>-0.0077879566456323</v>
      </c>
      <c r="K10" s="9" t="n"/>
      <c r="L10" s="7" t="n"/>
      <c r="M10" s="10" t="n"/>
      <c r="N10" s="11" t="n"/>
      <c r="O10" s="12" t="inlineStr"/>
      <c r="P10" s="10" t="n"/>
      <c r="Q10" s="13" t="n"/>
    </row>
    <row r="11">
      <c r="A11" s="5" t="inlineStr">
        <is>
          <t>AUS</t>
        </is>
      </c>
      <c r="B11" s="6" t="n">
        <v>2025</v>
      </c>
      <c r="C11" s="7" t="n">
        <v>2217.41828329</v>
      </c>
      <c r="D11" s="8" t="n">
        <v>0.081634055054468</v>
      </c>
      <c r="E11" s="8" t="n"/>
      <c r="F11" s="8" t="n"/>
      <c r="G11" s="7" t="n">
        <v>27.43324949</v>
      </c>
      <c r="H11" s="8" t="n">
        <v>0.0123717070868997</v>
      </c>
      <c r="I11" s="7" t="n">
        <v>30.029187</v>
      </c>
      <c r="J11" s="8" t="n">
        <v>0.0556634759695473</v>
      </c>
      <c r="K11" s="9" t="n">
        <v>65129.7227990563</v>
      </c>
      <c r="L11" s="7" t="n">
        <v>27.614411</v>
      </c>
      <c r="M11" s="10" t="n">
        <v>2.513524125630706</v>
      </c>
      <c r="N11" s="11" t="n">
        <v>3.7</v>
      </c>
      <c r="O11" s="12" t="inlineStr"/>
      <c r="P11" s="10" t="n">
        <v>52.44856940281051</v>
      </c>
      <c r="Q11" s="13" t="n">
        <v>0</v>
      </c>
    </row>
    <row r="12">
      <c r="A12" s="5" t="inlineStr">
        <is>
          <t>VNM</t>
        </is>
      </c>
      <c r="B12" s="6" t="n">
        <v>2023</v>
      </c>
      <c r="C12" s="7" t="n">
        <v>453.480062402</v>
      </c>
      <c r="D12" s="8" t="n">
        <v>0.0784904957962044</v>
      </c>
      <c r="E12" s="8" t="n">
        <v>0.0240994130003477</v>
      </c>
      <c r="F12" s="8" t="n">
        <v>0.0531111356040179</v>
      </c>
      <c r="G12" s="7" t="n">
        <v>23.934950437</v>
      </c>
      <c r="H12" s="8" t="n">
        <v>0.0527806014452344</v>
      </c>
      <c r="I12" s="7" t="n">
        <v>29.472422</v>
      </c>
      <c r="J12" s="8" t="n">
        <v>0.0179089153241345</v>
      </c>
      <c r="K12" s="9" t="n">
        <v>5065.99091899299</v>
      </c>
      <c r="L12" s="7" t="n">
        <v>101.598527</v>
      </c>
      <c r="M12" s="10" t="n">
        <v>6.225654098901522</v>
      </c>
      <c r="N12" s="11" t="n">
        <v>3.3</v>
      </c>
      <c r="O12" s="12" t="inlineStr"/>
      <c r="P12" s="10" t="n">
        <v>58.15807539511947</v>
      </c>
      <c r="Q12" s="13" t="n">
        <v>0</v>
      </c>
    </row>
    <row r="13">
      <c r="A13" s="5" t="inlineStr">
        <is>
          <t>HKG</t>
        </is>
      </c>
      <c r="B13" s="6" t="n">
        <v>2025</v>
      </c>
      <c r="C13" s="7" t="n">
        <v>1113.964163562</v>
      </c>
      <c r="D13" s="8" t="n">
        <v>0.0437189598504115</v>
      </c>
      <c r="E13" s="8" t="n">
        <v>0.0295970322394267</v>
      </c>
      <c r="F13" s="8" t="n">
        <v>0.0137159754435858</v>
      </c>
      <c r="G13" s="7" t="n">
        <v>25.997083448</v>
      </c>
      <c r="H13" s="8" t="n">
        <v>0.0233374504300676</v>
      </c>
      <c r="I13" s="7" t="n">
        <v>27.473755</v>
      </c>
      <c r="J13" s="8" t="n">
        <v>-0.0154413580027308</v>
      </c>
      <c r="K13" s="9" t="n">
        <v>56983.0663059906</v>
      </c>
      <c r="L13" s="7" t="n">
        <v>7.4989</v>
      </c>
      <c r="M13" s="10" t="n">
        <v>2.407301776751644</v>
      </c>
      <c r="N13" s="11" t="n">
        <v>4</v>
      </c>
      <c r="O13" s="12" t="inlineStr">
        <is>
          <t>Yes</t>
        </is>
      </c>
      <c r="P13" s="10" t="n"/>
      <c r="Q13" s="13" t="n"/>
    </row>
    <row r="14">
      <c r="A14" s="5" t="inlineStr">
        <is>
          <t>RUS</t>
        </is>
      </c>
      <c r="B14" s="6" t="n">
        <v>2021</v>
      </c>
      <c r="C14" s="7" t="n">
        <v>1349.076278912</v>
      </c>
      <c r="D14" s="8" t="n">
        <v>0.1203831677086515</v>
      </c>
      <c r="E14" s="8" t="n">
        <v>0.0984404498016187</v>
      </c>
      <c r="F14" s="8" t="n">
        <v>0.0199762471520379</v>
      </c>
      <c r="G14" s="7" t="n">
        <v>11.78507674</v>
      </c>
      <c r="H14" s="8" t="n">
        <v>0.008735663745792301</v>
      </c>
      <c r="I14" s="7" t="n">
        <v>16.811672</v>
      </c>
      <c r="J14" s="8" t="n">
        <v>0.1268689782810965</v>
      </c>
      <c r="K14" s="9" t="n">
        <v>17546.609375</v>
      </c>
      <c r="L14" s="7" t="n">
        <v>143.513328</v>
      </c>
      <c r="M14" s="10" t="n">
        <v>2.884118265543676</v>
      </c>
      <c r="N14" s="11" t="n">
        <v>2.6</v>
      </c>
      <c r="O14" s="12" t="inlineStr"/>
      <c r="P14" s="10" t="n"/>
      <c r="Q14" s="13" t="n"/>
    </row>
    <row r="15">
      <c r="A15" s="5" t="inlineStr">
        <is>
          <t>MNG</t>
        </is>
      </c>
      <c r="B15" s="6" t="n">
        <v>2023</v>
      </c>
      <c r="C15" s="7" t="n">
        <v>192.76041118</v>
      </c>
      <c r="D15" s="8" t="n">
        <v>0.1107592088165503</v>
      </c>
      <c r="E15" s="8" t="n">
        <v>0.0347107318970916</v>
      </c>
      <c r="F15" s="8" t="n">
        <v>0.0734973307757498</v>
      </c>
      <c r="G15" s="7" t="n">
        <v>7.673127534</v>
      </c>
      <c r="H15" s="8" t="n">
        <v>0.0398065530521971</v>
      </c>
      <c r="I15" s="7" t="n">
        <v>16.403248</v>
      </c>
      <c r="J15" s="8" t="n">
        <v>0.3700061269917818</v>
      </c>
      <c r="K15" s="9" t="n">
        <v>7108.22743246244</v>
      </c>
      <c r="L15" s="7" t="n">
        <v>3.568978</v>
      </c>
      <c r="M15" s="10" t="n">
        <v>5.2115103052269</v>
      </c>
      <c r="N15" s="11" t="n">
        <v>2.5</v>
      </c>
      <c r="O15" s="12" t="inlineStr"/>
      <c r="P15" s="10" t="n">
        <v>52.08507368269895</v>
      </c>
      <c r="Q15" s="13" t="n">
        <v>0.0154</v>
      </c>
    </row>
    <row r="16">
      <c r="A16" s="5" t="inlineStr">
        <is>
          <t>MYS</t>
        </is>
      </c>
      <c r="B16" s="6" t="n">
        <v>2025</v>
      </c>
      <c r="C16" s="7" t="n">
        <v>760.305981494</v>
      </c>
      <c r="D16" s="8" t="n">
        <v>0.131341524263721</v>
      </c>
      <c r="E16" s="8" t="n">
        <v>0.1173581370735599</v>
      </c>
      <c r="F16" s="8" t="n">
        <v>0.0125146868548204</v>
      </c>
      <c r="G16" s="7" t="n">
        <v>9.357527227</v>
      </c>
      <c r="H16" s="8" t="n">
        <v>0.0123075807040377</v>
      </c>
      <c r="I16" s="7" t="n">
        <v>11.801157</v>
      </c>
      <c r="J16" s="8" t="n">
        <v>0.0333650387527317</v>
      </c>
      <c r="K16" s="9" t="n">
        <v>13124.5554178269</v>
      </c>
      <c r="L16" s="7" t="n">
        <v>35.977838</v>
      </c>
      <c r="M16" s="10" t="n">
        <v>5.23217612357857</v>
      </c>
      <c r="N16" s="11" t="n">
        <v>3.6</v>
      </c>
      <c r="O16" s="12" t="inlineStr"/>
      <c r="P16" s="10" t="n">
        <v>62.04675795581214</v>
      </c>
      <c r="Q16" s="13" t="n">
        <v>0.0994</v>
      </c>
    </row>
    <row r="17">
      <c r="A17" s="5" t="inlineStr">
        <is>
          <t>NLD</t>
        </is>
      </c>
      <c r="B17" s="6" t="n">
        <v>2025</v>
      </c>
      <c r="C17" s="7" t="n">
        <v>6392.771703344999</v>
      </c>
      <c r="D17" s="8" t="n">
        <v>0.1297365177564378</v>
      </c>
      <c r="E17" s="8" t="n">
        <v>0.0700891887050647</v>
      </c>
      <c r="F17" s="8" t="n">
        <v>0.0557405211462358</v>
      </c>
      <c r="G17" s="7" t="n">
        <v>9.245577339000002</v>
      </c>
      <c r="H17" s="8" t="n">
        <v>0.0014462548903728</v>
      </c>
      <c r="I17" s="7" t="n">
        <v>10.200958</v>
      </c>
      <c r="J17" s="8" t="n">
        <v>0.3171892210787637</v>
      </c>
      <c r="K17" s="9" t="n">
        <v>73683.917132794</v>
      </c>
      <c r="L17" s="7" t="n">
        <v>18.087633</v>
      </c>
      <c r="M17" s="10" t="n">
        <v>2.708894594811826</v>
      </c>
      <c r="N17" s="11" t="n">
        <v>4.1</v>
      </c>
      <c r="O17" s="12" t="inlineStr">
        <is>
          <t>Yes</t>
        </is>
      </c>
      <c r="P17" s="10" t="n"/>
      <c r="Q17" s="13" t="n"/>
    </row>
    <row r="18">
      <c r="A18" s="5" t="inlineStr">
        <is>
          <t>THA</t>
        </is>
      </c>
      <c r="B18" s="6" t="n">
        <v>2025</v>
      </c>
      <c r="C18" s="7" t="n">
        <v>780.047649241</v>
      </c>
      <c r="D18" s="8" t="n">
        <v>0.1209056691014185</v>
      </c>
      <c r="E18" s="8" t="n">
        <v>0.094700789816833</v>
      </c>
      <c r="F18" s="8" t="n">
        <v>0.023937937679729</v>
      </c>
      <c r="G18" s="7" t="n">
        <v>8.382945486000001</v>
      </c>
      <c r="H18" s="8" t="n">
        <v>0.0107467095044216</v>
      </c>
      <c r="I18" s="7" t="n">
        <v>8.901367</v>
      </c>
      <c r="J18" s="8" t="n">
        <v>0.1073926508822977</v>
      </c>
      <c r="K18" s="9" t="n">
        <v>8056.56359761558</v>
      </c>
      <c r="L18" s="7" t="n">
        <v>71.619863</v>
      </c>
      <c r="M18" s="10" t="n">
        <v>2.367266630394574</v>
      </c>
      <c r="N18" s="11" t="n">
        <v>3.5</v>
      </c>
      <c r="O18" s="12" t="inlineStr"/>
      <c r="P18" s="10" t="n">
        <v>58.28441336413093</v>
      </c>
      <c r="Q18" s="13" t="n">
        <v>0</v>
      </c>
    </row>
    <row r="19">
      <c r="A19" s="5" t="inlineStr">
        <is>
          <t>SGP</t>
        </is>
      </c>
      <c r="B19" s="6" t="n">
        <v>2025</v>
      </c>
      <c r="C19" s="7" t="n">
        <v>883.9761282899999</v>
      </c>
      <c r="D19" s="8" t="n">
        <v>0.08391635765529259</v>
      </c>
      <c r="E19" s="8" t="n">
        <v>0.0210849508151917</v>
      </c>
      <c r="F19" s="8" t="n">
        <v>0.0615339661895308</v>
      </c>
      <c r="G19" s="7" t="n">
        <v>9.427850055</v>
      </c>
      <c r="H19" s="8" t="n">
        <v>0.0106652767572328</v>
      </c>
      <c r="I19" s="7" t="n">
        <v>8.798662</v>
      </c>
      <c r="J19" s="8" t="n">
        <v>0.0403799775565369</v>
      </c>
      <c r="K19" s="9" t="n">
        <v>98813.9788172877</v>
      </c>
      <c r="L19" s="7" t="n">
        <v>6.111175</v>
      </c>
      <c r="M19" s="10" t="n">
        <v>5.194205027530888</v>
      </c>
      <c r="N19" s="11" t="n">
        <v>4.3</v>
      </c>
      <c r="O19" s="12" t="inlineStr">
        <is>
          <t>Yes</t>
        </is>
      </c>
      <c r="P19" s="10" t="n"/>
      <c r="Q19" s="13" t="n"/>
    </row>
    <row r="20">
      <c r="A20" s="5" t="inlineStr">
        <is>
          <t>GBR</t>
        </is>
      </c>
      <c r="B20" s="6" t="n">
        <v>2025</v>
      </c>
      <c r="C20" s="7" t="n">
        <v>11249.132165648</v>
      </c>
      <c r="D20" s="8" t="n">
        <v>0.1253740090575636</v>
      </c>
      <c r="E20" s="8" t="n"/>
      <c r="F20" s="8" t="n"/>
      <c r="G20" s="7" t="n">
        <v>7.575363838</v>
      </c>
      <c r="H20" s="8" t="n">
        <v>0.000673417622484</v>
      </c>
      <c r="I20" s="7" t="n">
        <v>8.757771</v>
      </c>
      <c r="J20" s="8" t="n">
        <v>0.2346845268250468</v>
      </c>
      <c r="K20" s="9" t="n">
        <v>57601.9621201954</v>
      </c>
      <c r="L20" s="7" t="n">
        <v>69.48699999999999</v>
      </c>
      <c r="M20" s="10" t="n">
        <v>3.286637005217151</v>
      </c>
      <c r="N20" s="11" t="n">
        <v>3.7</v>
      </c>
      <c r="O20" s="12" t="inlineStr"/>
      <c r="P20" s="10" t="n">
        <v>58.20509677572385</v>
      </c>
      <c r="Q20" s="13" t="n">
        <v>0.0562</v>
      </c>
    </row>
    <row r="21">
      <c r="A21" s="5" t="inlineStr">
        <is>
          <t>SAU</t>
        </is>
      </c>
      <c r="B21" s="6" t="n">
        <v>2025</v>
      </c>
      <c r="C21" s="7" t="n">
        <v>1971.453252376</v>
      </c>
      <c r="D21" s="8" t="n">
        <v>0.0615530230447201</v>
      </c>
      <c r="E21" s="8" t="n">
        <v>0.0299294649947119</v>
      </c>
      <c r="F21" s="8" t="n">
        <v>0.0307045862118049</v>
      </c>
      <c r="G21" s="7" t="n">
        <v>8.324421170000001</v>
      </c>
      <c r="H21" s="8" t="n">
        <v>0.0042224796149578</v>
      </c>
      <c r="I21" s="7" t="n">
        <v>6.928632</v>
      </c>
      <c r="J21" s="8" t="n">
        <v>-0.0023548799099759</v>
      </c>
      <c r="K21" s="9" t="n">
        <v>34536.6555456551</v>
      </c>
      <c r="L21" s="7" t="n">
        <v>36.973555</v>
      </c>
      <c r="M21" s="10" t="n">
        <v>5.242834636589306</v>
      </c>
      <c r="N21" s="11" t="n">
        <v>3.4</v>
      </c>
      <c r="O21" s="12" t="inlineStr"/>
      <c r="P21" s="10" t="n">
        <v>50.64951811535379</v>
      </c>
      <c r="Q21" s="13" t="n">
        <v>0</v>
      </c>
    </row>
    <row r="22">
      <c r="A22" s="5" t="inlineStr">
        <is>
          <t>ARE</t>
        </is>
      </c>
      <c r="B22" s="6" t="n">
        <v>2023</v>
      </c>
      <c r="C22" s="7" t="n">
        <v>1637.340990653</v>
      </c>
      <c r="D22" s="8" t="n">
        <v>0.0414377069840976</v>
      </c>
      <c r="E22" s="8" t="n">
        <v>0.0318209398949043</v>
      </c>
      <c r="F22" s="8" t="n">
        <v>0.0093201898869903</v>
      </c>
      <c r="G22" s="7" t="n">
        <v>8.415724974</v>
      </c>
      <c r="H22" s="8" t="n">
        <v>0.0051398731370205</v>
      </c>
      <c r="I22" s="7" t="n">
        <v>5.779425</v>
      </c>
      <c r="J22" s="8" t="n">
        <v>0.0462629558508742</v>
      </c>
      <c r="K22" s="9" t="n">
        <v>50273.5126243239</v>
      </c>
      <c r="L22" s="7" t="n">
        <v>11.513149</v>
      </c>
      <c r="M22" s="10" t="n">
        <v>5.090068508055513</v>
      </c>
      <c r="N22" s="11" t="n">
        <v>4</v>
      </c>
      <c r="O22" s="12" t="inlineStr">
        <is>
          <t>Yes</t>
        </is>
      </c>
      <c r="P22" s="10" t="n"/>
      <c r="Q22" s="13" t="n"/>
    </row>
    <row r="23">
      <c r="A23" s="5" t="inlineStr">
        <is>
          <t>NZL</t>
        </is>
      </c>
      <c r="B23" s="6" t="n">
        <v>2025</v>
      </c>
      <c r="C23" s="7" t="n">
        <v>644.861669589</v>
      </c>
      <c r="D23" s="8" t="n">
        <v>0.0693314475963047</v>
      </c>
      <c r="E23" s="8" t="n">
        <v>0.0067953716327027</v>
      </c>
      <c r="F23" s="8" t="n">
        <v>0.0621139883293149</v>
      </c>
      <c r="G23" s="7" t="n">
        <v>5.854734708</v>
      </c>
      <c r="H23" s="8" t="n">
        <v>0.0090790552208375</v>
      </c>
      <c r="I23" s="7" t="n">
        <v>5.652558</v>
      </c>
      <c r="J23" s="8" t="n">
        <v>0.0274420357819262</v>
      </c>
      <c r="K23" s="9" t="n">
        <v>49591.0405731713</v>
      </c>
      <c r="L23" s="7" t="n">
        <v>5.3247</v>
      </c>
      <c r="M23" s="10" t="n">
        <v>1.810484504600056</v>
      </c>
      <c r="N23" s="11" t="n">
        <v>3.6</v>
      </c>
      <c r="O23" s="12" t="inlineStr"/>
      <c r="P23" s="10" t="n">
        <v>42.02430129766789</v>
      </c>
      <c r="Q23" s="13" t="n">
        <v>0</v>
      </c>
    </row>
    <row r="24">
      <c r="A24" s="5" t="inlineStr">
        <is>
          <t>DEU</t>
        </is>
      </c>
      <c r="B24" s="6" t="n">
        <v>2025</v>
      </c>
      <c r="C24" s="7" t="n">
        <v>11370.135742195</v>
      </c>
      <c r="D24" s="8" t="n">
        <v>0.1234328421329487</v>
      </c>
      <c r="E24" s="8" t="n">
        <v>0.0306259242636097</v>
      </c>
      <c r="F24" s="8" t="n">
        <v>0.0900490815187384</v>
      </c>
      <c r="G24" s="7" t="n">
        <v>7.31947719</v>
      </c>
      <c r="H24" s="8" t="n">
        <v>0.0006437458053237</v>
      </c>
      <c r="I24" s="7" t="n">
        <v>5.602188</v>
      </c>
      <c r="J24" s="8" t="n">
        <v>0.1884497213786515</v>
      </c>
      <c r="K24" s="9" t="n">
        <v>60496.4350820414</v>
      </c>
      <c r="L24" s="7" t="n">
        <v>83.491249</v>
      </c>
      <c r="M24" s="10" t="n">
        <v>0.9186673865262748</v>
      </c>
      <c r="N24" s="11" t="n">
        <v>4.1</v>
      </c>
      <c r="O24" s="12" t="inlineStr"/>
      <c r="P24" s="10" t="n">
        <v>56.79335972847348</v>
      </c>
      <c r="Q24" s="13" t="n">
        <v>0.2344</v>
      </c>
    </row>
    <row r="25">
      <c r="A25" s="5" t="inlineStr">
        <is>
          <t>IDN</t>
        </is>
      </c>
      <c r="B25" s="6" t="n">
        <v>2025</v>
      </c>
      <c r="C25" s="7" t="n">
        <v>482.080530903</v>
      </c>
      <c r="D25" s="8" t="n">
        <v>0.130709556909224</v>
      </c>
      <c r="E25" s="8" t="n"/>
      <c r="F25" s="8" t="n"/>
      <c r="G25" s="7" t="n">
        <v>5.472718036000001</v>
      </c>
      <c r="H25" s="8" t="n">
        <v>0.0113522900950778</v>
      </c>
      <c r="I25" s="7" t="n">
        <v>5.498633</v>
      </c>
      <c r="J25" s="8" t="n">
        <v>0.1168953028121801</v>
      </c>
      <c r="K25" s="9" t="n">
        <v>5059.62596411213</v>
      </c>
      <c r="L25" s="7" t="n">
        <v>285.721236</v>
      </c>
      <c r="M25" s="10" t="n">
        <v>4.83991556974922</v>
      </c>
      <c r="N25" s="11" t="n">
        <v>3</v>
      </c>
      <c r="O25" s="12" t="inlineStr"/>
      <c r="P25" s="10" t="n">
        <v>51.24484163046949</v>
      </c>
      <c r="Q25" s="13" t="n">
        <v>0</v>
      </c>
    </row>
    <row r="26">
      <c r="A26" s="5" t="inlineStr">
        <is>
          <t>KAZ</t>
        </is>
      </c>
      <c r="B26" s="6" t="n">
        <v>2025</v>
      </c>
      <c r="C26" s="7" t="n">
        <v>1112.44483012</v>
      </c>
      <c r="D26" s="8" t="n">
        <v>0.2022017361214718</v>
      </c>
      <c r="E26" s="8" t="n">
        <v>0.06577513461186001</v>
      </c>
      <c r="F26" s="8" t="n">
        <v>0.1280069285528007</v>
      </c>
      <c r="G26" s="7" t="n">
        <v>3.70262824</v>
      </c>
      <c r="H26" s="8" t="n">
        <v>0.0033283702164363</v>
      </c>
      <c r="I26" s="7" t="n">
        <v>3.83869</v>
      </c>
      <c r="J26" s="8" t="n">
        <v>0.0343378233108064</v>
      </c>
      <c r="K26" s="9" t="n">
        <v>14692.1331757237</v>
      </c>
      <c r="L26" s="7" t="n">
        <v>20.843754</v>
      </c>
      <c r="M26" s="10" t="n">
        <v>4.819999999341534</v>
      </c>
      <c r="N26" s="11" t="n">
        <v>2.7</v>
      </c>
      <c r="O26" s="12" t="inlineStr"/>
      <c r="P26" s="10" t="n">
        <v>47.2760944137895</v>
      </c>
      <c r="Q26" s="13" t="n">
        <v>0</v>
      </c>
    </row>
    <row r="27">
      <c r="A27" s="5" t="inlineStr">
        <is>
          <t>MEX</t>
        </is>
      </c>
      <c r="B27" s="6" t="n">
        <v>2025</v>
      </c>
      <c r="C27" s="7" t="n">
        <v>1408.085801</v>
      </c>
      <c r="D27" s="8" t="n">
        <v>0.157023991552083</v>
      </c>
      <c r="E27" s="8" t="n"/>
      <c r="F27" s="8" t="n"/>
      <c r="G27" s="7" t="n">
        <v>1.606483</v>
      </c>
      <c r="H27" s="8" t="n">
        <v>0.0011408985154591</v>
      </c>
      <c r="I27" s="7" t="n">
        <v>3.228987</v>
      </c>
      <c r="J27" s="8" t="n">
        <v>0.3653594332367238</v>
      </c>
      <c r="K27" s="9" t="n">
        <v>13889.2339628708</v>
      </c>
      <c r="L27" s="7" t="n">
        <v>131.9469</v>
      </c>
      <c r="M27" s="10" t="n">
        <v>2.955459347592767</v>
      </c>
      <c r="N27" s="11" t="n">
        <v>2.9</v>
      </c>
      <c r="O27" s="12" t="inlineStr"/>
      <c r="P27" s="10" t="n">
        <v>47.84018597536245</v>
      </c>
      <c r="Q27" s="13" t="n">
        <v>0</v>
      </c>
    </row>
    <row r="28">
      <c r="A28" s="5" t="inlineStr">
        <is>
          <t>BRA</t>
        </is>
      </c>
      <c r="B28" s="6" t="n">
        <v>2025</v>
      </c>
      <c r="C28" s="7" t="n">
        <v>436.834841</v>
      </c>
      <c r="D28" s="8" t="n">
        <v>0.1611540155784587</v>
      </c>
      <c r="E28" s="8" t="n">
        <v>0.0894218600983567</v>
      </c>
      <c r="F28" s="8" t="n">
        <v>0.0658442409753241</v>
      </c>
      <c r="G28" s="7" t="n">
        <v>2.071758</v>
      </c>
      <c r="H28" s="8" t="n">
        <v>0.0047426574200385</v>
      </c>
      <c r="I28" s="7" t="n">
        <v>2.69162</v>
      </c>
      <c r="J28" s="8" t="n">
        <v>0.163458322658043</v>
      </c>
      <c r="K28" s="9" t="n">
        <v>10713.2856869511</v>
      </c>
      <c r="L28" s="7" t="n">
        <v>212.812405</v>
      </c>
      <c r="M28" s="10" t="n">
        <v>3.34520314347052</v>
      </c>
      <c r="N28" s="11" t="n">
        <v>3.2</v>
      </c>
      <c r="O28" s="12" t="inlineStr"/>
      <c r="P28" s="10" t="n">
        <v>52.48040892343301</v>
      </c>
      <c r="Q28" s="13" t="n">
        <v>0</v>
      </c>
    </row>
    <row r="29">
      <c r="A29" s="5" t="inlineStr">
        <is>
          <t>KHM</t>
        </is>
      </c>
      <c r="B29" s="6" t="n">
        <v>2025</v>
      </c>
      <c r="C29" s="7" t="n">
        <v>106.628051092</v>
      </c>
      <c r="D29" s="8" t="n">
        <v>0.1068111579887634</v>
      </c>
      <c r="E29" s="8" t="n">
        <v>0.0754187387528726</v>
      </c>
      <c r="F29" s="8" t="n">
        <v>0.0291908798913951</v>
      </c>
      <c r="G29" s="7" t="n">
        <v>1.75345173</v>
      </c>
      <c r="H29" s="8" t="n">
        <v>0.0164445632461865</v>
      </c>
      <c r="I29" s="7" t="n">
        <v>2.437178</v>
      </c>
      <c r="J29" s="8" t="n">
        <v>0.2014028816627209</v>
      </c>
      <c r="K29" s="9" t="n">
        <v>2872.42926639909</v>
      </c>
      <c r="L29" s="7" t="n">
        <v>17.847982</v>
      </c>
      <c r="M29" s="10" t="n">
        <v>4.918441961318866</v>
      </c>
      <c r="N29" s="11" t="n">
        <v>2.4</v>
      </c>
      <c r="O29" s="12" t="inlineStr"/>
      <c r="P29" s="10" t="n">
        <v>34.58418330142093</v>
      </c>
      <c r="Q29" s="13" t="n">
        <v>0</v>
      </c>
    </row>
    <row r="30">
      <c r="A30" s="5" t="inlineStr">
        <is>
          <t>FRA</t>
        </is>
      </c>
      <c r="B30" s="6" t="n">
        <v>2025</v>
      </c>
      <c r="C30" s="7" t="n">
        <v>9497.837988204001</v>
      </c>
      <c r="D30" s="8" t="n">
        <v>0.1255716656861762</v>
      </c>
      <c r="E30" s="8" t="n">
        <v>0.0322207894718278</v>
      </c>
      <c r="F30" s="8" t="n">
        <v>0.09043692702809709</v>
      </c>
      <c r="G30" s="7" t="n">
        <v>2.74864713</v>
      </c>
      <c r="H30" s="8" t="n">
        <v>0.0002893971378974</v>
      </c>
      <c r="I30" s="7" t="n">
        <v>1.718513</v>
      </c>
      <c r="J30" s="8" t="n">
        <v>0.08431495961494299</v>
      </c>
      <c r="K30" s="9" t="n">
        <v>48985.7307807924</v>
      </c>
      <c r="L30" s="7" t="n">
        <v>68.720337</v>
      </c>
      <c r="M30" s="10" t="n">
        <v>2.613946671615474</v>
      </c>
      <c r="N30" s="11" t="n">
        <v>3.9</v>
      </c>
      <c r="O30" s="12" t="inlineStr"/>
      <c r="P30" s="10" t="n">
        <v>53.37168164582623</v>
      </c>
      <c r="Q30" s="13" t="n">
        <v>0.0132</v>
      </c>
    </row>
    <row r="31">
      <c r="A31" s="5" t="inlineStr">
        <is>
          <t>IND</t>
        </is>
      </c>
      <c r="B31" s="6" t="n">
        <v>2025</v>
      </c>
      <c r="C31" s="7" t="n">
        <v>300.134072922</v>
      </c>
      <c r="D31" s="8" t="n">
        <v>0.1835086630223368</v>
      </c>
      <c r="E31" s="8" t="n">
        <v>0.1055851153370881</v>
      </c>
      <c r="F31" s="8" t="n">
        <v>0.0704817264670663</v>
      </c>
      <c r="G31" s="7" t="n">
        <v>0.2411343209999999</v>
      </c>
      <c r="H31" s="8" t="n">
        <v>0.0008034220128771</v>
      </c>
      <c r="I31" s="7" t="n">
        <v>0.57286</v>
      </c>
      <c r="J31" s="8" t="n">
        <v>0.1460490676797443</v>
      </c>
      <c r="K31" s="9" t="n">
        <v>2702.47987141553</v>
      </c>
      <c r="L31" s="7" t="n">
        <v>1463.865525</v>
      </c>
      <c r="M31" s="10" t="n">
        <v>7.835024564710646</v>
      </c>
      <c r="N31" s="11" t="n">
        <v>3.4</v>
      </c>
      <c r="O31" s="12" t="inlineStr"/>
      <c r="P31" s="10" t="n">
        <v>62.91527402686493</v>
      </c>
      <c r="Q31" s="13" t="n">
        <v>0.274</v>
      </c>
    </row>
    <row r="32">
      <c r="A32" s="5" t="inlineStr">
        <is>
          <t>POL</t>
        </is>
      </c>
      <c r="B32" s="6" t="n">
        <v>2025</v>
      </c>
      <c r="C32" s="7" t="n">
        <v>3758.74423</v>
      </c>
      <c r="D32" s="8" t="n">
        <v>0.1610349712258612</v>
      </c>
      <c r="E32" s="8" t="n">
        <v>0.0458989208996714</v>
      </c>
      <c r="F32" s="8" t="n">
        <v>0.1100833436439068</v>
      </c>
      <c r="G32" s="7" t="n">
        <v>0.9074759999999999</v>
      </c>
      <c r="H32" s="8" t="n">
        <v>0.0002414306333368</v>
      </c>
      <c r="I32" s="7" t="n">
        <v>0.230952</v>
      </c>
      <c r="J32" s="8" t="n">
        <v>0.014727113828044</v>
      </c>
      <c r="K32" s="9" t="n">
        <v>28419.5777395638</v>
      </c>
      <c r="L32" s="7" t="n">
        <v>36.435861</v>
      </c>
      <c r="M32" s="10" t="n">
        <v>3.806678362016674</v>
      </c>
      <c r="N32" s="11" t="n">
        <v>3.6</v>
      </c>
      <c r="O32" s="12" t="inlineStr"/>
      <c r="P32" s="10" t="n">
        <v>52.54661716297235</v>
      </c>
      <c r="Q32" s="13" t="n">
        <v>0</v>
      </c>
    </row>
    <row r="33">
      <c r="A33" s="5" t="inlineStr">
        <is>
          <t>MMR</t>
        </is>
      </c>
      <c r="B33" s="6" t="n">
        <v>2025</v>
      </c>
      <c r="C33" s="7" t="n">
        <v>4.17398774</v>
      </c>
      <c r="D33" s="8" t="n">
        <v>-0.4678799066488205</v>
      </c>
      <c r="E33" s="8" t="n">
        <v>-0.4836927244714279</v>
      </c>
      <c r="F33" s="8" t="n">
        <v>0.0306267576927306</v>
      </c>
      <c r="G33" s="7" t="n"/>
      <c r="H33" s="8" t="n"/>
      <c r="I33" s="7" t="n">
        <v>0.1108</v>
      </c>
      <c r="J33" s="8" t="n">
        <v>-0.322915026338892</v>
      </c>
      <c r="K33" s="9" t="n">
        <v>1488.87527836542</v>
      </c>
      <c r="L33" s="7" t="n">
        <v>54.850648</v>
      </c>
      <c r="M33" s="10" t="n">
        <v>-2.000864718674671</v>
      </c>
      <c r="N33" s="11" t="n">
        <v>2.3</v>
      </c>
      <c r="O33" s="12" t="inlineStr"/>
      <c r="P33" s="10" t="n">
        <v>3.337687708953831</v>
      </c>
      <c r="Q33" s="13" t="n">
        <v>0</v>
      </c>
    </row>
    <row r="34">
      <c r="A34" s="5" t="inlineStr">
        <is>
          <t>PAK</t>
        </is>
      </c>
      <c r="B34" s="6" t="n">
        <v>2025</v>
      </c>
      <c r="C34" s="7" t="n">
        <v>33.562657599</v>
      </c>
      <c r="D34" s="8" t="n">
        <v>0.0791666130319876</v>
      </c>
      <c r="E34" s="8" t="n">
        <v>0.0461083219822606</v>
      </c>
      <c r="F34" s="8" t="n">
        <v>0.0316012121833475</v>
      </c>
      <c r="G34" s="7" t="n"/>
      <c r="H34" s="8" t="n"/>
      <c r="I34" s="7" t="n">
        <v>0.002711</v>
      </c>
      <c r="J34" s="8" t="n">
        <v>-0.4948450058729629</v>
      </c>
      <c r="K34" s="9" t="n">
        <v>1595.90912252837</v>
      </c>
      <c r="L34" s="7" t="n">
        <v>255.219554</v>
      </c>
      <c r="M34" s="10" t="n">
        <v>3.531449254751551</v>
      </c>
      <c r="N34" s="11" t="n">
        <v>2.42</v>
      </c>
      <c r="O34" s="12" t="inlineStr"/>
      <c r="P34" s="10" t="n">
        <v>22.68715361598331</v>
      </c>
      <c r="Q34" s="13" t="n">
        <v>0</v>
      </c>
    </row>
  </sheetData>
  <autoFilter ref="A4:Q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Korea exports by category (US$ M, Korea-reported, UN Comtrade)</t>
        </is>
      </c>
    </row>
    <row r="4">
      <c r="A4" s="3" t="inlineStr">
        <is>
          <t>Year</t>
        </is>
      </c>
      <c r="B4" s="3" t="inlineStr">
        <is>
          <t>Sugar confectionery</t>
        </is>
      </c>
      <c r="C4" s="3" t="inlineStr">
        <is>
          <t>Chocolate</t>
        </is>
      </c>
      <c r="D4" s="3" t="inlineStr">
        <is>
          <t>Bakery &amp; biscuits</t>
        </is>
      </c>
      <c r="E4" s="3" t="inlineStr">
        <is>
          <t>Ice cream</t>
        </is>
      </c>
      <c r="F4" s="3" t="inlineStr">
        <is>
          <t>Total</t>
        </is>
      </c>
    </row>
    <row r="5">
      <c r="A5" t="n">
        <v>2015</v>
      </c>
      <c r="B5" s="14" t="n">
        <v>123.47</v>
      </c>
      <c r="C5" s="14" t="n">
        <v>57.76</v>
      </c>
      <c r="D5" s="14" t="n">
        <v>286.51</v>
      </c>
      <c r="E5" s="14" t="n">
        <v>39.6</v>
      </c>
      <c r="F5" s="14" t="n">
        <v>507.34</v>
      </c>
    </row>
    <row r="6">
      <c r="A6" t="n">
        <v>2016</v>
      </c>
      <c r="B6" s="14" t="n">
        <v>120.84</v>
      </c>
      <c r="C6" s="14" t="n">
        <v>55.52</v>
      </c>
      <c r="D6" s="14" t="n">
        <v>280.74</v>
      </c>
      <c r="E6" s="14" t="n">
        <v>44.61</v>
      </c>
      <c r="F6" s="14" t="n">
        <v>501.72</v>
      </c>
    </row>
    <row r="7">
      <c r="A7" t="n">
        <v>2017</v>
      </c>
      <c r="B7" s="14" t="n">
        <v>124.48</v>
      </c>
      <c r="C7" s="14" t="n">
        <v>64.72</v>
      </c>
      <c r="D7" s="14" t="n">
        <v>244.39</v>
      </c>
      <c r="E7" s="14" t="n">
        <v>46.15</v>
      </c>
      <c r="F7" s="14" t="n">
        <v>479.75</v>
      </c>
    </row>
    <row r="8">
      <c r="A8" t="n">
        <v>2018</v>
      </c>
      <c r="B8" s="14" t="n">
        <v>113.57</v>
      </c>
      <c r="C8" s="14" t="n">
        <v>62.25</v>
      </c>
      <c r="D8" s="14" t="n">
        <v>255.61</v>
      </c>
      <c r="E8" s="14" t="n">
        <v>47.26</v>
      </c>
      <c r="F8" s="14" t="n">
        <v>478.69</v>
      </c>
    </row>
    <row r="9">
      <c r="A9" t="n">
        <v>2019</v>
      </c>
      <c r="B9" s="14" t="n">
        <v>118.18</v>
      </c>
      <c r="C9" s="14" t="n">
        <v>54.9</v>
      </c>
      <c r="D9" s="14" t="n">
        <v>253.1</v>
      </c>
      <c r="E9" s="14" t="n">
        <v>54.18</v>
      </c>
      <c r="F9" s="14" t="n">
        <v>480.37</v>
      </c>
    </row>
    <row r="10">
      <c r="A10" t="n">
        <v>2020</v>
      </c>
      <c r="B10" s="14" t="n">
        <v>115.95</v>
      </c>
      <c r="C10" s="14" t="n">
        <v>57.88</v>
      </c>
      <c r="D10" s="14" t="n">
        <v>308.96</v>
      </c>
      <c r="E10" s="14" t="n">
        <v>60.67</v>
      </c>
      <c r="F10" s="14" t="n">
        <v>543.45</v>
      </c>
    </row>
    <row r="11">
      <c r="A11" t="n">
        <v>2021</v>
      </c>
      <c r="B11" s="14" t="n">
        <v>110.39</v>
      </c>
      <c r="C11" s="14" t="n">
        <v>62.38</v>
      </c>
      <c r="D11" s="14" t="n">
        <v>367.09</v>
      </c>
      <c r="E11" s="14" t="n">
        <v>72.42</v>
      </c>
      <c r="F11" s="14" t="n">
        <v>612.28</v>
      </c>
    </row>
    <row r="12">
      <c r="A12" t="n">
        <v>2022</v>
      </c>
      <c r="B12" s="14" t="n">
        <v>120.4</v>
      </c>
      <c r="C12" s="14" t="n">
        <v>66.75</v>
      </c>
      <c r="D12" s="14" t="n">
        <v>351.82</v>
      </c>
      <c r="E12" s="14" t="n">
        <v>77.61</v>
      </c>
      <c r="F12" s="14" t="n">
        <v>616.5700000000001</v>
      </c>
    </row>
    <row r="13">
      <c r="A13" t="n">
        <v>2023</v>
      </c>
      <c r="B13" s="14" t="n">
        <v>90.53</v>
      </c>
      <c r="C13" s="14" t="n">
        <v>60.96</v>
      </c>
      <c r="D13" s="14" t="n">
        <v>391.35</v>
      </c>
      <c r="E13" s="14" t="n">
        <v>93.09999999999999</v>
      </c>
      <c r="F13" s="14" t="n">
        <v>635.9400000000001</v>
      </c>
    </row>
    <row r="14">
      <c r="A14" t="n">
        <v>2024</v>
      </c>
      <c r="B14" s="14" t="n">
        <v>103.53</v>
      </c>
      <c r="C14" s="14" t="n">
        <v>75.59</v>
      </c>
      <c r="D14" s="14" t="n">
        <v>431.74</v>
      </c>
      <c r="E14" s="14" t="n">
        <v>98.41</v>
      </c>
      <c r="F14" s="14" t="n">
        <v>709.27</v>
      </c>
    </row>
    <row r="15">
      <c r="A15" t="n">
        <v>2025</v>
      </c>
      <c r="B15" s="14" t="n">
        <v>113.19</v>
      </c>
      <c r="C15" s="14" t="n">
        <v>90.77</v>
      </c>
      <c r="D15" s="14" t="n">
        <v>465.92</v>
      </c>
      <c r="E15" s="14" t="n">
        <v>118.74</v>
      </c>
      <c r="F15" s="14" t="n">
        <v>788.61</v>
      </c>
    </row>
    <row r="17">
      <c r="A17" s="15" t="inlineStr">
        <is>
          <t>CAGR 2020-25</t>
        </is>
      </c>
      <c r="B17" s="16">
        <f>(B15/B10)^(1/5)-1</f>
        <v/>
      </c>
      <c r="C17" s="16">
        <f>(C15/C10)^(1/5)-1</f>
        <v/>
      </c>
      <c r="D17" s="16">
        <f>(D15/D10)^(1/5)-1</f>
        <v/>
      </c>
      <c r="E17" s="16">
        <f>(E15/E10)^(1/5)-1</f>
        <v/>
      </c>
      <c r="F17" s="16">
        <f>(F15/F10)^(1/5)-1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4" customWidth="1" min="4" max="4"/>
    <col width="18" customWidth="1" min="5" max="5"/>
    <col width="16" customWidth="1" min="6" max="6"/>
    <col width="14" customWidth="1" min="7" max="7"/>
    <col width="18" customWidth="1" min="8" max="8"/>
    <col width="12" customWidth="1" min="9" max="9"/>
  </cols>
  <sheetData>
    <row r="1">
      <c r="A1" s="1" t="inlineStr">
        <is>
          <t>Market sizing (HS 1704+1806+1905+2105 imports, latest year, US$ M)</t>
        </is>
      </c>
    </row>
    <row r="2">
      <c r="A2" s="2" t="inlineStr">
        <is>
          <t>Edit 'In SAM?' (Y/N) and the SOM share-gain inputs. TAM excludes nothing; adjusted TAM excludes hubs, RUS, MMR.</t>
        </is>
      </c>
    </row>
    <row r="4">
      <c r="A4" s="3" t="inlineStr">
        <is>
          <t>ISO3</t>
        </is>
      </c>
      <c r="B4" s="3" t="inlineStr">
        <is>
          <t>Category imports</t>
        </is>
      </c>
      <c r="C4" s="3" t="inlineStr">
        <is>
          <t>Imports from Korea</t>
        </is>
      </c>
      <c r="D4" s="3" t="inlineStr">
        <is>
          <t>In SAM? (Y/N)</t>
        </is>
      </c>
      <c r="E4" s="3" t="inlineStr">
        <is>
          <t>Excluded from adj. TAM? (Y/N)</t>
        </is>
      </c>
      <c r="F4" s="3" t="inlineStr">
        <is>
          <t>Bakery &amp; biscuits</t>
        </is>
      </c>
      <c r="G4" s="3" t="inlineStr">
        <is>
          <t>Chocolate</t>
        </is>
      </c>
      <c r="H4" s="3" t="inlineStr">
        <is>
          <t>Sugar confectionery</t>
        </is>
      </c>
      <c r="I4" s="3" t="inlineStr">
        <is>
          <t>Ice cream</t>
        </is>
      </c>
    </row>
    <row r="5">
      <c r="A5" s="5" t="inlineStr">
        <is>
          <t>USA</t>
        </is>
      </c>
      <c r="B5" s="7" t="n">
        <v>20938.478741</v>
      </c>
      <c r="C5" s="7" t="n">
        <v>204.534234</v>
      </c>
      <c r="D5" s="17" t="inlineStr">
        <is>
          <t>Y</t>
        </is>
      </c>
      <c r="E5" s="17" t="inlineStr">
        <is>
          <t>N</t>
        </is>
      </c>
      <c r="F5" s="7" t="n">
        <v>11412.923262</v>
      </c>
      <c r="G5" s="7" t="n">
        <v>5861.318254</v>
      </c>
      <c r="H5" s="7" t="n">
        <v>3310.560367</v>
      </c>
      <c r="I5" s="7" t="n">
        <v>353.676858</v>
      </c>
    </row>
    <row r="6">
      <c r="A6" s="5" t="inlineStr">
        <is>
          <t>DEU</t>
        </is>
      </c>
      <c r="B6" s="7" t="n">
        <v>11370.135742195</v>
      </c>
      <c r="C6" s="7" t="n">
        <v>7.31947719</v>
      </c>
      <c r="D6" s="17" t="inlineStr">
        <is>
          <t>N</t>
        </is>
      </c>
      <c r="E6" s="17" t="inlineStr">
        <is>
          <t>N</t>
        </is>
      </c>
      <c r="F6" s="7" t="n">
        <v>4647.811256149</v>
      </c>
      <c r="G6" s="7" t="n">
        <v>4818.853347139</v>
      </c>
      <c r="H6" s="7" t="n">
        <v>1258.677072408</v>
      </c>
      <c r="I6" s="7" t="n">
        <v>644.794066499</v>
      </c>
    </row>
    <row r="7">
      <c r="A7" s="5" t="inlineStr">
        <is>
          <t>GBR</t>
        </is>
      </c>
      <c r="B7" s="7" t="n">
        <v>11249.132165648</v>
      </c>
      <c r="C7" s="7" t="n">
        <v>7.575363838</v>
      </c>
      <c r="D7" s="17" t="inlineStr">
        <is>
          <t>N</t>
        </is>
      </c>
      <c r="E7" s="17" t="inlineStr">
        <is>
          <t>N</t>
        </is>
      </c>
      <c r="F7" s="7" t="n">
        <v>5007.913529017999</v>
      </c>
      <c r="G7" s="7" t="n">
        <v>4324.973480631</v>
      </c>
      <c r="H7" s="7" t="n">
        <v>1236.14050521</v>
      </c>
      <c r="I7" s="7" t="n">
        <v>680.1046507890001</v>
      </c>
    </row>
    <row r="8">
      <c r="A8" s="5" t="inlineStr">
        <is>
          <t>FRA</t>
        </is>
      </c>
      <c r="B8" s="7" t="n">
        <v>9497.837988204001</v>
      </c>
      <c r="C8" s="7" t="n">
        <v>2.74864713</v>
      </c>
      <c r="D8" s="17" t="inlineStr">
        <is>
          <t>N</t>
        </is>
      </c>
      <c r="E8" s="17" t="inlineStr">
        <is>
          <t>N</t>
        </is>
      </c>
      <c r="F8" s="7" t="n">
        <v>3814.213859475</v>
      </c>
      <c r="G8" s="7" t="n">
        <v>4426.700193224</v>
      </c>
      <c r="H8" s="7" t="n">
        <v>780.531728322</v>
      </c>
      <c r="I8" s="7" t="n">
        <v>476.392207183</v>
      </c>
    </row>
    <row r="9">
      <c r="A9" s="5" t="inlineStr">
        <is>
          <t>NLD</t>
        </is>
      </c>
      <c r="B9" s="7" t="n">
        <v>6392.771703344999</v>
      </c>
      <c r="C9" s="7" t="n">
        <v>9.245577339000002</v>
      </c>
      <c r="D9" s="17" t="inlineStr">
        <is>
          <t>N</t>
        </is>
      </c>
      <c r="E9" s="17" t="inlineStr">
        <is>
          <t>Y</t>
        </is>
      </c>
      <c r="F9" s="7" t="n">
        <v>2561.711236191</v>
      </c>
      <c r="G9" s="7" t="n">
        <v>2578.478608383</v>
      </c>
      <c r="H9" s="7" t="n">
        <v>875.813187181</v>
      </c>
      <c r="I9" s="7" t="n">
        <v>376.76867159</v>
      </c>
    </row>
    <row r="10">
      <c r="A10" s="5" t="inlineStr">
        <is>
          <t>CAN</t>
        </is>
      </c>
      <c r="B10" s="7" t="n">
        <v>4964.210731907001</v>
      </c>
      <c r="C10" s="7" t="n">
        <v>42.41360951999999</v>
      </c>
      <c r="D10" s="17" t="inlineStr">
        <is>
          <t>Y</t>
        </is>
      </c>
      <c r="E10" s="17" t="inlineStr">
        <is>
          <t>N</t>
        </is>
      </c>
      <c r="F10" s="7" t="n">
        <v>2343.337405651</v>
      </c>
      <c r="G10" s="7" t="n">
        <v>1880.190299564</v>
      </c>
      <c r="H10" s="7" t="n">
        <v>698.500571613</v>
      </c>
      <c r="I10" s="7" t="n">
        <v>42.182455079</v>
      </c>
    </row>
    <row r="11">
      <c r="A11" s="5" t="inlineStr">
        <is>
          <t>POL</t>
        </is>
      </c>
      <c r="B11" s="7" t="n">
        <v>3758.74423</v>
      </c>
      <c r="C11" s="7" t="n">
        <v>0.9074759999999999</v>
      </c>
      <c r="D11" s="17" t="inlineStr">
        <is>
          <t>N</t>
        </is>
      </c>
      <c r="E11" s="17" t="inlineStr">
        <is>
          <t>N</t>
        </is>
      </c>
      <c r="F11" s="7" t="n">
        <v>1207.669969</v>
      </c>
      <c r="G11" s="7" t="n">
        <v>1872.421504</v>
      </c>
      <c r="H11" s="7" t="n">
        <v>483.53542</v>
      </c>
      <c r="I11" s="7" t="n">
        <v>195.117337</v>
      </c>
    </row>
    <row r="12">
      <c r="A12" s="5" t="inlineStr">
        <is>
          <t>AUS</t>
        </is>
      </c>
      <c r="B12" s="7" t="n">
        <v>2217.41828329</v>
      </c>
      <c r="C12" s="7" t="n">
        <v>27.43324949</v>
      </c>
      <c r="D12" s="17" t="inlineStr">
        <is>
          <t>N</t>
        </is>
      </c>
      <c r="E12" s="17" t="inlineStr">
        <is>
          <t>N</t>
        </is>
      </c>
      <c r="F12" s="7" t="n">
        <v>1136.183858402</v>
      </c>
      <c r="G12" s="7" t="n">
        <v>645.227184661</v>
      </c>
      <c r="H12" s="7" t="n">
        <v>315.3248507</v>
      </c>
      <c r="I12" s="7" t="n">
        <v>120.682389527</v>
      </c>
    </row>
    <row r="13">
      <c r="A13" s="5" t="inlineStr">
        <is>
          <t>CHN</t>
        </is>
      </c>
      <c r="B13" s="7" t="n">
        <v>2071.555162</v>
      </c>
      <c r="C13" s="7" t="n">
        <v>93.930646</v>
      </c>
      <c r="D13" s="17" t="inlineStr">
        <is>
          <t>N</t>
        </is>
      </c>
      <c r="E13" s="17" t="inlineStr">
        <is>
          <t>N</t>
        </is>
      </c>
      <c r="F13" s="7" t="n">
        <v>926.791797</v>
      </c>
      <c r="G13" s="7" t="n">
        <v>694.657105</v>
      </c>
      <c r="H13" s="7" t="n">
        <v>343.013169</v>
      </c>
      <c r="I13" s="7" t="n">
        <v>107.093091</v>
      </c>
    </row>
    <row r="14">
      <c r="A14" s="5" t="inlineStr">
        <is>
          <t>SAU</t>
        </is>
      </c>
      <c r="B14" s="7" t="n">
        <v>1971.453252376</v>
      </c>
      <c r="C14" s="7" t="n">
        <v>8.324421170000001</v>
      </c>
      <c r="D14" s="17" t="inlineStr">
        <is>
          <t>Y</t>
        </is>
      </c>
      <c r="E14" s="17" t="inlineStr">
        <is>
          <t>N</t>
        </is>
      </c>
      <c r="F14" s="7" t="n">
        <v>909.577428703</v>
      </c>
      <c r="G14" s="7" t="n">
        <v>686.278300578</v>
      </c>
      <c r="H14" s="7" t="n">
        <v>235.876693615</v>
      </c>
      <c r="I14" s="7" t="n">
        <v>139.72082948</v>
      </c>
    </row>
    <row r="15">
      <c r="A15" s="5" t="inlineStr">
        <is>
          <t>ARE</t>
        </is>
      </c>
      <c r="B15" s="7" t="n">
        <v>1637.340990653</v>
      </c>
      <c r="C15" s="7" t="n">
        <v>8.415724974</v>
      </c>
      <c r="D15" s="17" t="inlineStr">
        <is>
          <t>N</t>
        </is>
      </c>
      <c r="E15" s="17" t="inlineStr">
        <is>
          <t>Y</t>
        </is>
      </c>
      <c r="F15" s="7" t="n">
        <v>730.875880315</v>
      </c>
      <c r="G15" s="7" t="n">
        <v>563.8905178819999</v>
      </c>
      <c r="H15" s="7" t="n">
        <v>286.471982113</v>
      </c>
      <c r="I15" s="7" t="n">
        <v>56.102610343</v>
      </c>
    </row>
    <row r="16">
      <c r="A16" s="5" t="inlineStr">
        <is>
          <t>JPN</t>
        </is>
      </c>
      <c r="B16" s="7" t="n">
        <v>1600.268310096</v>
      </c>
      <c r="C16" s="7" t="n">
        <v>107.117377449</v>
      </c>
      <c r="D16" s="17" t="inlineStr">
        <is>
          <t>N</t>
        </is>
      </c>
      <c r="E16" s="17" t="inlineStr">
        <is>
          <t>N</t>
        </is>
      </c>
      <c r="F16" s="7" t="n">
        <v>592.809810187</v>
      </c>
      <c r="G16" s="7" t="n">
        <v>780.2848542</v>
      </c>
      <c r="H16" s="7" t="n">
        <v>182.93666442</v>
      </c>
      <c r="I16" s="7" t="n">
        <v>44.236981289</v>
      </c>
    </row>
    <row r="17">
      <c r="A17" s="5" t="inlineStr">
        <is>
          <t>MEX</t>
        </is>
      </c>
      <c r="B17" s="7" t="n">
        <v>1408.085801</v>
      </c>
      <c r="C17" s="7" t="n">
        <v>1.606483</v>
      </c>
      <c r="D17" s="17" t="inlineStr">
        <is>
          <t>N</t>
        </is>
      </c>
      <c r="E17" s="17" t="inlineStr">
        <is>
          <t>N</t>
        </is>
      </c>
      <c r="F17" s="7" t="n">
        <v>619.4530140000001</v>
      </c>
      <c r="G17" s="7" t="n">
        <v>473.52181</v>
      </c>
      <c r="H17" s="7" t="n">
        <v>225.261181</v>
      </c>
      <c r="I17" s="7" t="n">
        <v>89.849796</v>
      </c>
    </row>
    <row r="18">
      <c r="A18" s="5" t="inlineStr">
        <is>
          <t>RUS</t>
        </is>
      </c>
      <c r="B18" s="7" t="n">
        <v>1349.076278912</v>
      </c>
      <c r="C18" s="7" t="n">
        <v>11.78507674</v>
      </c>
      <c r="D18" s="17" t="inlineStr">
        <is>
          <t>N</t>
        </is>
      </c>
      <c r="E18" s="17" t="inlineStr">
        <is>
          <t>Y</t>
        </is>
      </c>
      <c r="F18" s="7" t="n">
        <v>432.708846343</v>
      </c>
      <c r="G18" s="7" t="n">
        <v>644.287244752</v>
      </c>
      <c r="H18" s="7" t="n">
        <v>217.650518008</v>
      </c>
      <c r="I18" s="7" t="n">
        <v>54.429669809</v>
      </c>
    </row>
    <row r="19">
      <c r="A19" s="5" t="inlineStr">
        <is>
          <t>HKG</t>
        </is>
      </c>
      <c r="B19" s="7" t="n">
        <v>1113.964163562</v>
      </c>
      <c r="C19" s="7" t="n">
        <v>25.997083448</v>
      </c>
      <c r="D19" s="17" t="inlineStr">
        <is>
          <t>N</t>
        </is>
      </c>
      <c r="E19" s="17" t="inlineStr">
        <is>
          <t>Y</t>
        </is>
      </c>
      <c r="F19" s="7" t="n">
        <v>504.679283219</v>
      </c>
      <c r="G19" s="7" t="n">
        <v>399.707145077</v>
      </c>
      <c r="H19" s="7" t="n">
        <v>150.001192261</v>
      </c>
      <c r="I19" s="7" t="n">
        <v>59.576543005</v>
      </c>
    </row>
    <row r="20">
      <c r="A20" s="5" t="inlineStr">
        <is>
          <t>KAZ</t>
        </is>
      </c>
      <c r="B20" s="7" t="n">
        <v>1112.44483012</v>
      </c>
      <c r="C20" s="7" t="n">
        <v>3.70262824</v>
      </c>
      <c r="D20" s="17" t="inlineStr">
        <is>
          <t>Y</t>
        </is>
      </c>
      <c r="E20" s="17" t="inlineStr">
        <is>
          <t>N</t>
        </is>
      </c>
      <c r="F20" s="7" t="n">
        <v>386.25222556</v>
      </c>
      <c r="G20" s="7" t="n">
        <v>528.8669859300001</v>
      </c>
      <c r="H20" s="7" t="n">
        <v>152.23747456</v>
      </c>
      <c r="I20" s="7" t="n">
        <v>45.08814407</v>
      </c>
    </row>
    <row r="21">
      <c r="A21" s="5" t="inlineStr">
        <is>
          <t>SGP</t>
        </is>
      </c>
      <c r="B21" s="7" t="n">
        <v>883.9761282899999</v>
      </c>
      <c r="C21" s="7" t="n">
        <v>9.427850055</v>
      </c>
      <c r="D21" s="17" t="inlineStr">
        <is>
          <t>N</t>
        </is>
      </c>
      <c r="E21" s="17" t="inlineStr">
        <is>
          <t>Y</t>
        </is>
      </c>
      <c r="F21" s="7" t="n">
        <v>421.047110348</v>
      </c>
      <c r="G21" s="7" t="n">
        <v>319.245001051</v>
      </c>
      <c r="H21" s="7" t="n">
        <v>80.649713904</v>
      </c>
      <c r="I21" s="7" t="n">
        <v>63.034302987</v>
      </c>
    </row>
    <row r="22">
      <c r="A22" s="5" t="inlineStr">
        <is>
          <t>PHL</t>
        </is>
      </c>
      <c r="B22" s="7" t="n">
        <v>844.660748</v>
      </c>
      <c r="C22" s="7" t="n">
        <v>10.312898</v>
      </c>
      <c r="D22" s="17" t="inlineStr">
        <is>
          <t>Y</t>
        </is>
      </c>
      <c r="E22" s="17" t="inlineStr">
        <is>
          <t>N</t>
        </is>
      </c>
      <c r="F22" s="7" t="n">
        <v>334.097618</v>
      </c>
      <c r="G22" s="7" t="n">
        <v>313.280655</v>
      </c>
      <c r="H22" s="7" t="n">
        <v>159.155472</v>
      </c>
      <c r="I22" s="7" t="n">
        <v>38.127003</v>
      </c>
    </row>
    <row r="23">
      <c r="A23" s="5" t="inlineStr">
        <is>
          <t>THA</t>
        </is>
      </c>
      <c r="B23" s="7" t="n">
        <v>780.047649241</v>
      </c>
      <c r="C23" s="7" t="n">
        <v>8.382945486000001</v>
      </c>
      <c r="D23" s="17" t="inlineStr">
        <is>
          <t>Y</t>
        </is>
      </c>
      <c r="E23" s="17" t="inlineStr">
        <is>
          <t>N</t>
        </is>
      </c>
      <c r="F23" s="7" t="n">
        <v>359.138255434</v>
      </c>
      <c r="G23" s="7" t="n">
        <v>236.447678976</v>
      </c>
      <c r="H23" s="7" t="n">
        <v>164.820135459</v>
      </c>
      <c r="I23" s="7" t="n">
        <v>19.641579372</v>
      </c>
    </row>
    <row r="24">
      <c r="A24" s="5" t="inlineStr">
        <is>
          <t>MYS</t>
        </is>
      </c>
      <c r="B24" s="7" t="n">
        <v>760.305981494</v>
      </c>
      <c r="C24" s="7" t="n">
        <v>9.357527227</v>
      </c>
      <c r="D24" s="17" t="inlineStr">
        <is>
          <t>Y</t>
        </is>
      </c>
      <c r="E24" s="17" t="inlineStr">
        <is>
          <t>N</t>
        </is>
      </c>
      <c r="F24" s="7" t="n">
        <v>338.603937002</v>
      </c>
      <c r="G24" s="7" t="n">
        <v>243.659538663</v>
      </c>
      <c r="H24" s="7" t="n">
        <v>112.380595865</v>
      </c>
      <c r="I24" s="7" t="n">
        <v>65.661909964</v>
      </c>
    </row>
    <row r="25">
      <c r="A25" s="5" t="inlineStr">
        <is>
          <t>NZL</t>
        </is>
      </c>
      <c r="B25" s="7" t="n">
        <v>644.861669589</v>
      </c>
      <c r="C25" s="7" t="n">
        <v>5.854734708</v>
      </c>
      <c r="D25" s="17" t="inlineStr">
        <is>
          <t>N</t>
        </is>
      </c>
      <c r="E25" s="17" t="inlineStr">
        <is>
          <t>N</t>
        </is>
      </c>
      <c r="F25" s="7" t="n">
        <v>250.300598509</v>
      </c>
      <c r="G25" s="7" t="n">
        <v>248.083787561</v>
      </c>
      <c r="H25" s="7" t="n">
        <v>101.233860654</v>
      </c>
      <c r="I25" s="7" t="n">
        <v>45.243422865</v>
      </c>
    </row>
    <row r="26">
      <c r="A26" s="5" t="inlineStr">
        <is>
          <t>IDN</t>
        </is>
      </c>
      <c r="B26" s="7" t="n">
        <v>482.080530903</v>
      </c>
      <c r="C26" s="7" t="n">
        <v>5.472718036000001</v>
      </c>
      <c r="D26" s="17" t="inlineStr">
        <is>
          <t>Y</t>
        </is>
      </c>
      <c r="E26" s="17" t="inlineStr">
        <is>
          <t>N</t>
        </is>
      </c>
      <c r="F26" s="7" t="n">
        <v>166.267945021</v>
      </c>
      <c r="G26" s="7" t="n">
        <v>164.696280996</v>
      </c>
      <c r="H26" s="7" t="n">
        <v>139.480233945</v>
      </c>
      <c r="I26" s="7" t="n">
        <v>11.636070941</v>
      </c>
    </row>
    <row r="27">
      <c r="A27" s="5" t="inlineStr">
        <is>
          <t>VNM</t>
        </is>
      </c>
      <c r="B27" s="7" t="n">
        <v>453.480062402</v>
      </c>
      <c r="C27" s="7" t="n">
        <v>23.934950437</v>
      </c>
      <c r="D27" s="17" t="inlineStr">
        <is>
          <t>Y</t>
        </is>
      </c>
      <c r="E27" s="17" t="inlineStr">
        <is>
          <t>N</t>
        </is>
      </c>
      <c r="F27" s="7" t="n">
        <v>274.783266419</v>
      </c>
      <c r="G27" s="7" t="n">
        <v>57.648971463</v>
      </c>
      <c r="H27" s="7" t="n">
        <v>88.201138977</v>
      </c>
      <c r="I27" s="7" t="n">
        <v>32.846685543</v>
      </c>
    </row>
    <row r="28">
      <c r="A28" s="5" t="inlineStr">
        <is>
          <t>BRA</t>
        </is>
      </c>
      <c r="B28" s="7" t="n">
        <v>436.834841</v>
      </c>
      <c r="C28" s="7" t="n">
        <v>2.071758</v>
      </c>
      <c r="D28" s="17" t="inlineStr">
        <is>
          <t>N</t>
        </is>
      </c>
      <c r="E28" s="17" t="inlineStr">
        <is>
          <t>N</t>
        </is>
      </c>
      <c r="F28" s="7" t="n">
        <v>149.230122</v>
      </c>
      <c r="G28" s="7" t="n">
        <v>225.873873</v>
      </c>
      <c r="H28" s="7" t="n">
        <v>52.503356</v>
      </c>
      <c r="I28" s="7" t="n">
        <v>9.22749</v>
      </c>
    </row>
    <row r="29">
      <c r="A29" s="5" t="inlineStr">
        <is>
          <t>IND</t>
        </is>
      </c>
      <c r="B29" s="7" t="n">
        <v>300.134072922</v>
      </c>
      <c r="C29" s="7" t="n">
        <v>0.2411343209999999</v>
      </c>
      <c r="D29" s="17" t="inlineStr">
        <is>
          <t>Y</t>
        </is>
      </c>
      <c r="E29" s="17" t="inlineStr">
        <is>
          <t>N</t>
        </is>
      </c>
      <c r="F29" s="7" t="n">
        <v>123.353269654</v>
      </c>
      <c r="G29" s="7" t="n">
        <v>147.120727856</v>
      </c>
      <c r="H29" s="7" t="n">
        <v>27.71465759</v>
      </c>
      <c r="I29" s="7" t="n">
        <v>1.945417822</v>
      </c>
    </row>
    <row r="30">
      <c r="A30" s="5" t="inlineStr">
        <is>
          <t>MNG</t>
        </is>
      </c>
      <c r="B30" s="7" t="n">
        <v>192.76041118</v>
      </c>
      <c r="C30" s="7" t="n">
        <v>7.673127534</v>
      </c>
      <c r="D30" s="17" t="inlineStr">
        <is>
          <t>Y</t>
        </is>
      </c>
      <c r="E30" s="17" t="inlineStr">
        <is>
          <t>N</t>
        </is>
      </c>
      <c r="F30" s="7" t="n">
        <v>73.620771164</v>
      </c>
      <c r="G30" s="7" t="n">
        <v>70.36330441</v>
      </c>
      <c r="H30" s="7" t="n">
        <v>39.773121368</v>
      </c>
      <c r="I30" s="7" t="n">
        <v>9.003214238</v>
      </c>
    </row>
    <row r="31">
      <c r="A31" s="5" t="inlineStr">
        <is>
          <t>KHM</t>
        </is>
      </c>
      <c r="B31" s="7" t="n">
        <v>106.628051092</v>
      </c>
      <c r="C31" s="7" t="n">
        <v>1.75345173</v>
      </c>
      <c r="D31" s="17" t="inlineStr">
        <is>
          <t>Y</t>
        </is>
      </c>
      <c r="E31" s="17" t="inlineStr">
        <is>
          <t>N</t>
        </is>
      </c>
      <c r="F31" s="7" t="n">
        <v>62.217427552</v>
      </c>
      <c r="G31" s="7" t="n">
        <v>8.127250786999999</v>
      </c>
      <c r="H31" s="7" t="n">
        <v>26.240821563</v>
      </c>
      <c r="I31" s="7" t="n">
        <v>10.04255119</v>
      </c>
    </row>
    <row r="32">
      <c r="A32" s="5" t="inlineStr">
        <is>
          <t>PAK</t>
        </is>
      </c>
      <c r="B32" s="7" t="n">
        <v>33.562657599</v>
      </c>
      <c r="C32" s="7" t="n"/>
      <c r="D32" s="17" t="inlineStr">
        <is>
          <t>N</t>
        </is>
      </c>
      <c r="E32" s="17" t="inlineStr">
        <is>
          <t>N</t>
        </is>
      </c>
      <c r="F32" s="7" t="n">
        <v>5.916693305</v>
      </c>
      <c r="G32" s="7" t="n">
        <v>21.699969597</v>
      </c>
      <c r="H32" s="7" t="n">
        <v>4.122249285000001</v>
      </c>
      <c r="I32" s="7" t="n">
        <v>1.823745412</v>
      </c>
    </row>
    <row r="33">
      <c r="A33" s="5" t="inlineStr">
        <is>
          <t>MMR</t>
        </is>
      </c>
      <c r="B33" s="7" t="n">
        <v>4.17398774</v>
      </c>
      <c r="C33" s="7" t="n"/>
      <c r="D33" s="17" t="inlineStr">
        <is>
          <t>N</t>
        </is>
      </c>
      <c r="E33" s="17" t="inlineStr">
        <is>
          <t>Y</t>
        </is>
      </c>
      <c r="F33" s="7" t="n">
        <v>2.926426293</v>
      </c>
      <c r="G33" s="7" t="n">
        <v>0.5942943469999999</v>
      </c>
      <c r="H33" s="7" t="n">
        <v>0.56434065</v>
      </c>
      <c r="I33" s="7" t="n">
        <v>0.08892644999999989</v>
      </c>
    </row>
    <row r="35">
      <c r="A35" s="15" t="inlineStr">
        <is>
          <t>TAM (all candidate reporters)</t>
        </is>
      </c>
      <c r="B35" s="18">
        <f>SUM(B5:B33)</f>
        <v/>
      </c>
    </row>
    <row r="36">
      <c r="A36" s="15" t="inlineStr">
        <is>
          <t>Adjusted TAM (excl. hubs, RUS, MMR)</t>
        </is>
      </c>
      <c r="B36" s="18">
        <f>SUMIF(E5:E33,"N",B5:B33)</f>
        <v/>
      </c>
    </row>
    <row r="37">
      <c r="A37" s="15" t="inlineStr">
        <is>
          <t>SAM (In SAM = Y)</t>
        </is>
      </c>
      <c r="B37" s="18">
        <f>SUMIF(D5:D33,"Y",B5:B33)</f>
        <v/>
      </c>
    </row>
    <row r="38">
      <c r="A38" s="15" t="inlineStr">
        <is>
          <t>Imports from Korea within SAM</t>
        </is>
      </c>
      <c r="B38" s="18">
        <f>SUMIF(D5:D33,"Y",C5:C33)</f>
        <v/>
      </c>
    </row>
    <row r="39">
      <c r="A39" s="15" t="inlineStr">
        <is>
          <t>Korea share of SAM</t>
        </is>
      </c>
      <c r="B39" s="19">
        <f>B38/B37</f>
        <v/>
      </c>
    </row>
    <row r="40">
      <c r="A40" s="15" t="inlineStr">
        <is>
          <t>SAM — bakery &amp; biscuits</t>
        </is>
      </c>
      <c r="B40" s="18">
        <f>SUMIF(D5:D33,"Y",F5:F33)</f>
        <v/>
      </c>
    </row>
    <row r="41">
      <c r="A41" s="15" t="inlineStr">
        <is>
          <t>SAM — chocolate</t>
        </is>
      </c>
      <c r="B41" s="18">
        <f>SUMIF(D5:D33,"Y",G5:G33)</f>
        <v/>
      </c>
    </row>
    <row r="42">
      <c r="A42" s="15" t="inlineStr">
        <is>
          <t>SAM — sugar confectionery</t>
        </is>
      </c>
      <c r="B42" s="18">
        <f>SUMIF(D5:D33,"Y",H5:H33)</f>
        <v/>
      </c>
    </row>
    <row r="43">
      <c r="A43" s="15" t="inlineStr">
        <is>
          <t>SAM — ice cream</t>
        </is>
      </c>
      <c r="B43" s="18">
        <f>SUMIF(D5:D33,"Y",I5:I33)</f>
        <v/>
      </c>
    </row>
    <row r="45">
      <c r="A45" s="20" t="inlineStr">
        <is>
          <t>SOM scenarios (illustrative)</t>
        </is>
      </c>
    </row>
    <row r="46">
      <c r="A46" s="3" t="inlineStr">
        <is>
          <t>Scenario</t>
        </is>
      </c>
      <c r="B46" s="3" t="inlineStr">
        <is>
          <t>Share gain (pp of SAM)</t>
        </is>
      </c>
      <c r="C46" s="3" t="inlineStr">
        <is>
          <t>SOM (US$ M)</t>
        </is>
      </c>
      <c r="D46" s="3" t="inlineStr">
        <is>
          <t>SOM (₩ bn)</t>
        </is>
      </c>
    </row>
    <row r="47">
      <c r="A47" t="inlineStr">
        <is>
          <t>Conservative</t>
        </is>
      </c>
      <c r="B47" s="21" t="n">
        <v>0.001</v>
      </c>
      <c r="C47" s="18">
        <f>B47*$B$37</f>
        <v/>
      </c>
      <c r="D47" s="18">
        <f>C47*$B$50/1000</f>
        <v/>
      </c>
    </row>
    <row r="48">
      <c r="A48" t="inlineStr">
        <is>
          <t>Base</t>
        </is>
      </c>
      <c r="B48" s="21" t="n">
        <v>0.0025</v>
      </c>
      <c r="C48" s="18">
        <f>B48*$B$37</f>
        <v/>
      </c>
      <c r="D48" s="18">
        <f>C48*$B$50/1000</f>
        <v/>
      </c>
    </row>
    <row r="49">
      <c r="A49" t="inlineStr">
        <is>
          <t>Ambitious</t>
        </is>
      </c>
      <c r="B49" s="21" t="n">
        <v>0.005</v>
      </c>
      <c r="C49" s="18">
        <f>B49*$B$37</f>
        <v/>
      </c>
      <c r="D49" s="18">
        <f>C49*$B$50/1000</f>
        <v/>
      </c>
    </row>
    <row r="50">
      <c r="A50" t="inlineStr">
        <is>
          <t>KRW per US$ (assumption)</t>
        </is>
      </c>
      <c r="B50" s="22" t="n">
        <v>1400</v>
      </c>
    </row>
  </sheetData>
  <dataValidations count="1">
    <dataValidation sqref="D5:E33" showDropDown="0" showInputMessage="0" showErrorMessage="0" allowBlank="0" type="list">
      <formula1>"Y,N"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26" customWidth="1" min="3" max="3"/>
    <col width="40" customWidth="1" min="4" max="4"/>
    <col width="34" customWidth="1" min="5" max="5"/>
    <col width="22" customWidth="1" min="6" max="6"/>
    <col width="30" customWidth="1" min="7" max="7"/>
    <col width="40" customWidth="1" min="8" max="8"/>
  </cols>
  <sheetData>
    <row r="1">
      <c r="A1" s="1" t="inlineStr">
        <is>
          <t>Competitor &amp; alternative analysis</t>
        </is>
      </c>
    </row>
    <row r="2">
      <c r="A2" s="2" t="inlineStr">
        <is>
          <t>Sources in docs/pm/09_market_research_report.md. 'UNVERIFIED' = not confirmed from a primary source.</t>
        </is>
      </c>
    </row>
    <row r="4">
      <c r="A4" s="3" t="inlineStr">
        <is>
          <t>Name</t>
        </is>
      </c>
      <c r="B4" s="3" t="inlineStr">
        <is>
          <t>Category</t>
        </is>
      </c>
      <c r="C4" s="3" t="inlineStr">
        <is>
          <t>Target customer</t>
        </is>
      </c>
      <c r="D4" s="3" t="inlineStr">
        <is>
          <t>Core offering &amp; data</t>
        </is>
      </c>
      <c r="E4" s="3" t="inlineStr">
        <is>
          <t>AI features</t>
        </is>
      </c>
      <c r="F4" s="3" t="inlineStr">
        <is>
          <t>Pricing model</t>
        </is>
      </c>
      <c r="G4" s="3" t="inlineStr">
        <is>
          <t>Strengths</t>
        </is>
      </c>
      <c r="H4" s="3" t="inlineStr">
        <is>
          <t>Gap vs WellGTM</t>
        </is>
      </c>
    </row>
    <row r="5">
      <c r="A5" s="4" t="inlineStr">
        <is>
          <t>Euromonitor Passport</t>
        </is>
      </c>
      <c r="B5" s="4" t="inlineStr">
        <is>
          <t>Syndicated research</t>
        </is>
      </c>
      <c r="C5" s="4" t="inlineStr">
        <is>
          <t>Enterprise strategy &amp; consumer-insight teams</t>
        </is>
      </c>
      <c r="D5" s="4" t="inlineStr">
        <is>
          <t>210-country market sizes, category data, primary field research</t>
        </is>
      </c>
      <c r="E5" s="4" t="inlineStr">
        <is>
          <t>Passport AI (RAG, sourced only from Euromonitor content, Sep 2024); Passport Connect/MCP (Oct 2026)</t>
        </is>
      </c>
      <c r="F5" s="4" t="inlineStr">
        <is>
          <t>Not disclosed</t>
        </is>
      </c>
      <c r="G5" s="4" t="inlineStr">
        <is>
          <t>Depth and breadth of category data; trusted brand</t>
        </is>
      </c>
      <c r="H5" s="4" t="inlineStr">
        <is>
          <t>Browse-and-ask; no product-specific market ranking, no daily alerts, no regulation Q&amp;A</t>
        </is>
      </c>
    </row>
    <row r="6">
      <c r="A6" s="4" t="inlineStr">
        <is>
          <t>Mintel (GNPD, Leap, Spark)</t>
        </is>
      </c>
      <c r="B6" s="4" t="inlineStr">
        <is>
          <t>Syndicated research</t>
        </is>
      </c>
      <c r="C6" s="4" t="inlineStr">
        <is>
          <t>CPG marketing, innovation, R&amp;D</t>
        </is>
      </c>
      <c r="D6" s="4" t="inlineStr">
        <is>
          <t>New-product launch database (86 economies), consumer panels, market sizes</t>
        </is>
      </c>
      <c r="E6" s="4" t="inlineStr">
        <is>
          <t>Mintel Spark (~Dec 2024), Mintel Leap, GNPD Deep Research — evidence-based on proprietary data</t>
        </is>
      </c>
      <c r="F6" s="4" t="inlineStr">
        <is>
          <t>Not disclosed (tiered)</t>
        </is>
      </c>
      <c r="G6" s="4" t="inlineStr">
        <is>
          <t>Human-verified product-launch data; consumer insight</t>
        </is>
      </c>
      <c r="H6" s="4" t="inlineStr">
        <is>
          <t>No country ranking, no monitoring alerts, no regulation Q&amp;A; skewed to large markets</t>
        </is>
      </c>
    </row>
    <row r="7">
      <c r="A7" s="4" t="inlineStr">
        <is>
          <t>Statista</t>
        </is>
      </c>
      <c r="B7" s="4" t="inlineStr">
        <is>
          <t>Statistics portal</t>
        </is>
      </c>
      <c r="C7" s="4" t="inlineStr">
        <is>
          <t>Analysts, strategy teams, consultants</t>
        </is>
      </c>
      <c r="D7" s="4" t="inlineStr">
        <is>
          <t>1.5M+ statistics aggregated from third parties; consumer insights survey</t>
        </is>
      </c>
      <c r="E7" s="4" t="inlineStr">
        <is>
          <t>Research AI (~May 2024, cited); Connect API + MCP (Apr 2025)</t>
        </is>
      </c>
      <c r="F7" s="4" t="inlineStr">
        <is>
          <t>Not on official site; third-party estimate ~$400-600/user/yr (UNVERIFIED)</t>
        </is>
      </c>
      <c r="G7" s="4" t="inlineStr">
        <is>
          <t>Broad, citable statistics; AI-assistant integrations</t>
        </is>
      </c>
      <c r="H7" s="4" t="inlineStr">
        <is>
          <t>No trade/tariff data, no ranking, pull-only</t>
        </is>
      </c>
    </row>
    <row r="8">
      <c r="A8" s="4" t="inlineStr">
        <is>
          <t>ITC Trade Map / Market Access Map / Export Potential Map</t>
        </is>
      </c>
      <c r="B8" s="4" t="inlineStr">
        <is>
          <t>Free public tool (UN/WTO)</t>
        </is>
      </c>
      <c r="C8" s="4" t="inlineStr">
        <is>
          <t>SME exporters, trade-promotion organisations, policymakers</t>
        </is>
      </c>
      <c r="D8" s="4" t="inlineStr">
        <is>
          <t>Trade flows; tariffs &amp; NTMs; gravity-model export-potential ranking by product × market</t>
        </is>
      </c>
      <c r="E8" s="4" t="inlineStr">
        <is>
          <t>None embedded in these tools</t>
        </is>
      </c>
      <c r="F8" s="4" t="inlineStr">
        <is>
          <t>Free</t>
        </is>
      </c>
      <c r="G8" s="4" t="inlineStr">
        <is>
          <t>Closest analog to ranking logic; published methodology</t>
        </is>
      </c>
      <c r="H8" s="4" t="inlineStr">
        <is>
          <t>Generic (country-aggregate, not manufacturer-specific); not daily; no conversational Q&amp;A; fixed weighting</t>
        </is>
      </c>
    </row>
    <row r="9">
      <c r="A9" s="4" t="inlineStr">
        <is>
          <t>S&amp;P Global Panjiva</t>
        </is>
      </c>
      <c r="B9" s="4" t="inlineStr">
        <is>
          <t>Shipment-level trade data</t>
        </is>
      </c>
      <c r="C9" s="4" t="inlineStr">
        <is>
          <t>Large enterprise procurement, supply chain, compliance</t>
        </is>
      </c>
      <c r="D9" s="4" t="inlineStr">
        <is>
          <t>Bills of lading &amp; customs records (21 countries), company shipment histories</t>
        </is>
      </c>
      <c r="E9" s="4" t="inlineStr">
        <is>
          <t>No dedicated GenAI for Panjiva (S&amp;P ChatIQ is in Capital IQ Pro)</t>
        </is>
      </c>
      <c r="F9" s="4" t="inlineStr">
        <is>
          <t>Not disclosed (UNVERIFIED secondary figures excluded)</t>
        </is>
      </c>
      <c r="G9" s="4" t="inlineStr">
        <is>
          <t>Granular shipment data; saved-search alerts</t>
        </is>
      </c>
      <c r="H9" s="4" t="inlineStr">
        <is>
          <t>No market ranking or synthesis; no regulation Q&amp;A</t>
        </is>
      </c>
    </row>
    <row r="10">
      <c r="A10" s="4" t="inlineStr">
        <is>
          <t>ImportGenius</t>
        </is>
      </c>
      <c r="B10" s="4" t="inlineStr">
        <is>
          <t>Shipment-level trade data</t>
        </is>
      </c>
      <c r="C10" s="4" t="inlineStr">
        <is>
          <t>SMB to Fortune 500 procurement, sales, compliance</t>
        </is>
      </c>
      <c r="D10" s="4" t="inlineStr">
        <is>
          <t>US shipment records + 25 countries (enterprise)</t>
        </is>
      </c>
      <c r="E10" s="4" t="inlineStr">
        <is>
          <t>AI HS-code enrichment (2025); Genius Company Profiler (Apr 2025)</t>
        </is>
      </c>
      <c r="F10" s="4" t="inlineStr">
        <is>
          <t>Named tiers, no public figures</t>
        </is>
      </c>
      <c r="G10" s="4" t="inlineStr">
        <is>
          <t>Trade Alerts; AI classification</t>
        </is>
      </c>
      <c r="H10" s="4" t="inlineStr">
        <is>
          <t>No market ranking; classification only, not regulation Q&amp;A</t>
        </is>
      </c>
    </row>
    <row r="11">
      <c r="A11" s="4" t="inlineStr">
        <is>
          <t>Tridge (Tridge Eye)</t>
        </is>
      </c>
      <c r="B11" s="4" t="inlineStr">
        <is>
          <t>Agri-food data &amp; sourcing platform (Korean)</t>
        </is>
      </c>
      <c r="C11" s="4" t="inlineStr">
        <is>
          <t>Food/agri value chain: importers, manufacturers, exporters</t>
        </is>
      </c>
      <c r="D11" s="4" t="inlineStr">
        <is>
          <t>Prices, trade data, reports, sourcing marketplace; Lotte Mart named as customer</t>
        </is>
      </c>
      <c r="E11" s="4" t="inlineStr">
        <is>
          <t>Eye AI Chat (answers cite data &amp; reports); Eye Speaker (entity-tagged alerts); Eye Echo forecasting (beta)</t>
        </is>
      </c>
      <c r="F11" s="4" t="inlineStr">
        <is>
          <t>Free/Business/Enterprise tiers, no public figures</t>
        </is>
      </c>
      <c r="G11" s="4" t="inlineStr">
        <is>
          <t>Strongest overall AI + alerting analog; Korean origin; food focus</t>
        </is>
      </c>
      <c r="H11" s="4" t="inlineStr">
        <is>
          <t>Sourcing/procurement orientation; no confirmed outbound export-destination ranking; no regulation Q&amp;A</t>
        </is>
      </c>
    </row>
    <row r="12">
      <c r="A12" s="4" t="inlineStr">
        <is>
          <t>Spate / Trendalytics</t>
        </is>
      </c>
      <c r="B12" s="4" t="inlineStr">
        <is>
          <t>AI consumer-trend tools</t>
        </is>
      </c>
      <c r="C12" s="4" t="inlineStr">
        <is>
          <t>Brand marketing &amp; R&amp;D (beauty, wellness, F&amp;B)</t>
        </is>
      </c>
      <c r="D12" s="4" t="inlineStr">
        <is>
          <t>Search &amp; social trend forecasting</t>
        </is>
      </c>
      <c r="E12" s="4" t="inlineStr">
        <is>
          <t>Ask Spate assistant; Trendalytics TrendPulse AI (Mar 2026)</t>
        </is>
      </c>
      <c r="F12" s="4" t="inlineStr">
        <is>
          <t>On request</t>
        </is>
      </c>
      <c r="G12" s="4" t="inlineStr">
        <is>
          <t>Trend detection; social-language evidence</t>
        </is>
      </c>
      <c r="H12" s="4" t="inlineStr">
        <is>
          <t>Wrong domain: ranks trends within a market, not export countries; no trade/tariff data</t>
        </is>
      </c>
    </row>
    <row r="13">
      <c r="A13" s="4" t="inlineStr">
        <is>
          <t>aT KATI + ChaTi (채티)</t>
        </is>
      </c>
      <c r="B13" s="4" t="inlineStr">
        <is>
          <t>Korean public service (aT/MAFRA)</t>
        </is>
      </c>
      <c r="C13" s="4" t="inlineStr">
        <is>
          <t>Korean agri-food exporters (esp. SMEs)</t>
        </is>
      </c>
      <c r="D13" s="4" t="inlineStr">
        <is>
          <t>Export statistics, country/commodity reports, non-tariff barrier &amp; rejection cases, buyer matching</t>
        </is>
      </c>
      <c r="E13" s="4" t="inlineStr">
        <is>
          <t>ChaTi: LLM + RAG over ~80,000 KATI documents with source links (full service Dec 2025); plan to evolve into a 'K-Food export AI agent'</t>
        </is>
      </c>
      <c r="F13" s="4" t="inlineStr">
        <is>
          <t>Free</t>
        </is>
      </c>
      <c r="G13" s="4" t="inlineStr">
        <is>
          <t>Free, Korean, K-food specific, government backed, cited answers</t>
        </is>
      </c>
      <c r="H13" s="4" t="inlineStr">
        <is>
          <t>Broad and generic; not manufacturer-specific ranking with adjustable weights or robustness; monitoring not confirmed</t>
        </is>
      </c>
    </row>
    <row r="14">
      <c r="A14" s="4" t="inlineStr">
        <is>
          <t>KOTRA 해외시장뉴스 + 'AI 수출비서' (planned)</t>
        </is>
      </c>
      <c r="B14" s="4" t="inlineStr">
        <is>
          <t>Korean public service (KOTRA/MOTIE)</t>
        </is>
      </c>
      <c r="C14" s="4" t="inlineStr">
        <is>
          <t>Korean exporters across industries</t>
        </is>
      </c>
      <c r="D14" s="4" t="inlineStr">
        <is>
          <t>Country profiles, market news, promising items, tariffs/regulations</t>
        </is>
      </c>
      <c r="E14" s="4" t="inlineStr">
        <is>
          <t>'AI 수출비서' announced Mar 2026 for first-phase launch in 2026: market/buyer recommendations, company-specific strategy reports (beta; live functionality UNVERIFIED)</t>
        </is>
      </c>
      <c r="F14" s="4" t="inlineStr">
        <is>
          <t>Free</t>
        </is>
      </c>
      <c r="G14" s="4" t="inlineStr">
        <is>
          <t>Global network of trade centres; government backing</t>
        </is>
      </c>
      <c r="H14" s="4" t="inlineStr">
        <is>
          <t>Cross-industry, generic; maturity unverified; no food-specific corrections or daily monitoring confirmed</t>
        </is>
      </c>
    </row>
    <row r="15">
      <c r="A15" s="4" t="inlineStr">
        <is>
          <t>KITA K-stat / TradeNAVI</t>
        </is>
      </c>
      <c r="B15" s="4" t="inlineStr">
        <is>
          <t>Korean public service (KITA)</t>
        </is>
      </c>
      <c r="C15" s="4" t="inlineStr">
        <is>
          <t>Korean exporters</t>
        </is>
      </c>
      <c r="D15" s="4" t="inlineStr">
        <is>
          <t>Trade statistics; HS-code tariff lookup; TBT/SPS info; customs-rejection cases</t>
        </is>
      </c>
      <c r="E15" s="4" t="inlineStr">
        <is>
          <t>None confirmed</t>
        </is>
      </c>
      <c r="F15" s="4" t="inlineStr">
        <is>
          <t>Free (membership features vary)</t>
        </is>
      </c>
      <c r="G15" s="4" t="inlineStr">
        <is>
          <t>Authoritative Korean trade stats and tariffs</t>
        </is>
      </c>
      <c r="H15" s="4" t="inlineStr">
        <is>
          <t>Lookup tools, not decision support; no ranking or assistant</t>
        </is>
      </c>
    </row>
    <row r="16">
      <c r="A16" s="4" t="inlineStr">
        <is>
          <t>Management consultants</t>
        </is>
      </c>
      <c r="B16" s="4" t="inlineStr">
        <is>
          <t>Services</t>
        </is>
      </c>
      <c r="C16" s="4" t="inlineStr">
        <is>
          <t>Enterprise strategy teams</t>
        </is>
      </c>
      <c r="D16" s="4" t="inlineStr">
        <is>
          <t>Tailored market-entry studies</t>
        </is>
      </c>
      <c r="E16" s="4" t="inlineStr">
        <is>
          <t>Varies</t>
        </is>
      </c>
      <c r="F16" s="4" t="inlineStr">
        <is>
          <t>Project-based</t>
        </is>
      </c>
      <c r="G16" s="4" t="inlineStr">
        <is>
          <t>Tailored, includes primary interviews</t>
        </is>
      </c>
      <c r="H16" s="4" t="inlineStr">
        <is>
          <t>Slow, costly, stale on delivery, not interactive or continuous</t>
        </is>
      </c>
    </row>
    <row r="17">
      <c r="A17" s="4" t="inlineStr">
        <is>
          <t>In-house spreadsheets</t>
        </is>
      </c>
      <c r="B17" s="4" t="inlineStr">
        <is>
          <t>Status quo</t>
        </is>
      </c>
      <c r="C17" s="4" t="inlineStr">
        <is>
          <t>Internal analysts</t>
        </is>
      </c>
      <c r="D17" s="4" t="inlineStr">
        <is>
          <t>Manual downloads + Excel/PowerPoint</t>
        </is>
      </c>
      <c r="E17" s="4" t="inlineStr">
        <is>
          <t>None</t>
        </is>
      </c>
      <c r="F17" s="4" t="inlineStr">
        <is>
          <t>Analyst time</t>
        </is>
      </c>
      <c r="G17" s="4" t="inlineStr">
        <is>
          <t>Full control; free licence</t>
        </is>
      </c>
      <c r="H17" s="4" t="inlineStr">
        <is>
          <t>Manual, inconsistent, no monitoring, prone to data traps</t>
        </is>
      </c>
    </row>
    <row r="19">
      <c r="A19" s="20" t="inlineStr">
        <is>
          <t>Capability comparison (● full · ◐ partial · ○ none)</t>
        </is>
      </c>
    </row>
    <row r="20">
      <c r="A20" s="3" t="inlineStr">
        <is>
          <t>Name</t>
        </is>
      </c>
      <c r="B20" s="3" t="inlineStr">
        <is>
          <t>Trade data</t>
        </is>
      </c>
      <c r="C20" s="3" t="inlineStr">
        <is>
          <t>Consumer/market data</t>
        </is>
      </c>
      <c r="D20" s="3" t="inlineStr">
        <is>
          <t>Regulation info</t>
        </is>
      </c>
      <c r="E20" s="3" t="inlineStr">
        <is>
          <t>Ranked recommendations</t>
        </is>
      </c>
      <c r="F20" s="3" t="inlineStr">
        <is>
          <t>Adjustable weights + robustness</t>
        </is>
      </c>
      <c r="G20" s="3" t="inlineStr">
        <is>
          <t>Cited AI assistant</t>
        </is>
      </c>
      <c r="H20" s="3" t="inlineStr">
        <is>
          <t>Continuous alerts</t>
        </is>
      </c>
      <c r="I20" s="3" t="inlineStr">
        <is>
          <t>Korean language</t>
        </is>
      </c>
    </row>
    <row r="21">
      <c r="A21" s="4" t="inlineStr">
        <is>
          <t>Euromonitor Passport</t>
        </is>
      </c>
      <c r="B21" s="4" t="inlineStr">
        <is>
          <t>◐</t>
        </is>
      </c>
      <c r="C21" s="4" t="inlineStr">
        <is>
          <t>●</t>
        </is>
      </c>
      <c r="D21" s="4" t="inlineStr">
        <is>
          <t>○</t>
        </is>
      </c>
      <c r="E21" s="4" t="inlineStr">
        <is>
          <t>○</t>
        </is>
      </c>
      <c r="F21" s="4" t="inlineStr">
        <is>
          <t>○</t>
        </is>
      </c>
      <c r="G21" s="4" t="inlineStr">
        <is>
          <t>●</t>
        </is>
      </c>
      <c r="H21" s="4" t="inlineStr">
        <is>
          <t>○</t>
        </is>
      </c>
      <c r="I21" s="4" t="inlineStr">
        <is>
          <t>○</t>
        </is>
      </c>
    </row>
    <row r="22">
      <c r="A22" s="4" t="inlineStr">
        <is>
          <t>Mintel (GNPD, Leap, Spark)</t>
        </is>
      </c>
      <c r="B22" s="4" t="inlineStr">
        <is>
          <t>○</t>
        </is>
      </c>
      <c r="C22" s="4" t="inlineStr">
        <is>
          <t>●</t>
        </is>
      </c>
      <c r="D22" s="4" t="inlineStr">
        <is>
          <t>○</t>
        </is>
      </c>
      <c r="E22" s="4" t="inlineStr">
        <is>
          <t>○</t>
        </is>
      </c>
      <c r="F22" s="4" t="inlineStr">
        <is>
          <t>○</t>
        </is>
      </c>
      <c r="G22" s="4" t="inlineStr">
        <is>
          <t>●</t>
        </is>
      </c>
      <c r="H22" s="4" t="inlineStr">
        <is>
          <t>○</t>
        </is>
      </c>
      <c r="I22" s="4" t="inlineStr">
        <is>
          <t>○</t>
        </is>
      </c>
    </row>
    <row r="23">
      <c r="A23" s="4" t="inlineStr">
        <is>
          <t>Statista</t>
        </is>
      </c>
      <c r="B23" s="4" t="inlineStr">
        <is>
          <t>○</t>
        </is>
      </c>
      <c r="C23" s="4" t="inlineStr">
        <is>
          <t>◐</t>
        </is>
      </c>
      <c r="D23" s="4" t="inlineStr">
        <is>
          <t>○</t>
        </is>
      </c>
      <c r="E23" s="4" t="inlineStr">
        <is>
          <t>○</t>
        </is>
      </c>
      <c r="F23" s="4" t="inlineStr">
        <is>
          <t>○</t>
        </is>
      </c>
      <c r="G23" s="4" t="inlineStr">
        <is>
          <t>●</t>
        </is>
      </c>
      <c r="H23" s="4" t="inlineStr">
        <is>
          <t>○</t>
        </is>
      </c>
      <c r="I23" s="4" t="inlineStr">
        <is>
          <t>○</t>
        </is>
      </c>
    </row>
    <row r="24">
      <c r="A24" s="4" t="inlineStr">
        <is>
          <t>ITC Trade Map / Market Access Map / Export Potential Map</t>
        </is>
      </c>
      <c r="B24" s="4" t="inlineStr">
        <is>
          <t>●</t>
        </is>
      </c>
      <c r="C24" s="4" t="inlineStr">
        <is>
          <t>○</t>
        </is>
      </c>
      <c r="D24" s="4" t="inlineStr">
        <is>
          <t>◐</t>
        </is>
      </c>
      <c r="E24" s="4" t="inlineStr">
        <is>
          <t>●</t>
        </is>
      </c>
      <c r="F24" s="4" t="inlineStr">
        <is>
          <t>◐</t>
        </is>
      </c>
      <c r="G24" s="4" t="inlineStr">
        <is>
          <t>○</t>
        </is>
      </c>
      <c r="H24" s="4" t="inlineStr">
        <is>
          <t>◐</t>
        </is>
      </c>
      <c r="I24" s="4" t="inlineStr">
        <is>
          <t>○</t>
        </is>
      </c>
    </row>
    <row r="25">
      <c r="A25" s="4" t="inlineStr">
        <is>
          <t>S&amp;P Global Panjiva</t>
        </is>
      </c>
      <c r="B25" s="4" t="inlineStr">
        <is>
          <t>●</t>
        </is>
      </c>
      <c r="C25" s="4" t="inlineStr">
        <is>
          <t>○</t>
        </is>
      </c>
      <c r="D25" s="4" t="inlineStr">
        <is>
          <t>○</t>
        </is>
      </c>
      <c r="E25" s="4" t="inlineStr">
        <is>
          <t>○</t>
        </is>
      </c>
      <c r="F25" s="4" t="inlineStr">
        <is>
          <t>○</t>
        </is>
      </c>
      <c r="G25" s="4" t="inlineStr">
        <is>
          <t>○</t>
        </is>
      </c>
      <c r="H25" s="4" t="inlineStr">
        <is>
          <t>●</t>
        </is>
      </c>
      <c r="I25" s="4" t="inlineStr">
        <is>
          <t>○</t>
        </is>
      </c>
    </row>
    <row r="26">
      <c r="A26" s="4" t="inlineStr">
        <is>
          <t>ImportGenius</t>
        </is>
      </c>
      <c r="B26" s="4" t="inlineStr">
        <is>
          <t>●</t>
        </is>
      </c>
      <c r="C26" s="4" t="inlineStr">
        <is>
          <t>○</t>
        </is>
      </c>
      <c r="D26" s="4" t="inlineStr">
        <is>
          <t>◐</t>
        </is>
      </c>
      <c r="E26" s="4" t="inlineStr">
        <is>
          <t>○</t>
        </is>
      </c>
      <c r="F26" s="4" t="inlineStr">
        <is>
          <t>○</t>
        </is>
      </c>
      <c r="G26" s="4" t="inlineStr">
        <is>
          <t>◐</t>
        </is>
      </c>
      <c r="H26" s="4" t="inlineStr">
        <is>
          <t>●</t>
        </is>
      </c>
      <c r="I26" s="4" t="inlineStr">
        <is>
          <t>○</t>
        </is>
      </c>
    </row>
    <row r="27">
      <c r="A27" s="4" t="inlineStr">
        <is>
          <t>Tridge (Tridge Eye)</t>
        </is>
      </c>
      <c r="B27" s="4" t="inlineStr">
        <is>
          <t>●</t>
        </is>
      </c>
      <c r="C27" s="4" t="inlineStr">
        <is>
          <t>◐</t>
        </is>
      </c>
      <c r="D27" s="4" t="inlineStr">
        <is>
          <t>○</t>
        </is>
      </c>
      <c r="E27" s="4" t="inlineStr">
        <is>
          <t>◐</t>
        </is>
      </c>
      <c r="F27" s="4" t="inlineStr">
        <is>
          <t>○</t>
        </is>
      </c>
      <c r="G27" s="4" t="inlineStr">
        <is>
          <t>●</t>
        </is>
      </c>
      <c r="H27" s="4" t="inlineStr">
        <is>
          <t>●</t>
        </is>
      </c>
      <c r="I27" s="4" t="inlineStr">
        <is>
          <t>◐</t>
        </is>
      </c>
    </row>
    <row r="28">
      <c r="A28" s="4" t="inlineStr">
        <is>
          <t>Spate / Trendalytics</t>
        </is>
      </c>
      <c r="B28" s="4" t="inlineStr">
        <is>
          <t>○</t>
        </is>
      </c>
      <c r="C28" s="4" t="inlineStr">
        <is>
          <t>●</t>
        </is>
      </c>
      <c r="D28" s="4" t="inlineStr">
        <is>
          <t>○</t>
        </is>
      </c>
      <c r="E28" s="4" t="inlineStr">
        <is>
          <t>○</t>
        </is>
      </c>
      <c r="F28" s="4" t="inlineStr">
        <is>
          <t>○</t>
        </is>
      </c>
      <c r="G28" s="4" t="inlineStr">
        <is>
          <t>◐</t>
        </is>
      </c>
      <c r="H28" s="4" t="inlineStr">
        <is>
          <t>◐</t>
        </is>
      </c>
      <c r="I28" s="4" t="inlineStr">
        <is>
          <t>○</t>
        </is>
      </c>
    </row>
    <row r="29">
      <c r="A29" s="4" t="inlineStr">
        <is>
          <t>aT KATI + ChaTi (채티)</t>
        </is>
      </c>
      <c r="B29" s="4" t="inlineStr">
        <is>
          <t>●</t>
        </is>
      </c>
      <c r="C29" s="4" t="inlineStr">
        <is>
          <t>◐</t>
        </is>
      </c>
      <c r="D29" s="4" t="inlineStr">
        <is>
          <t>●</t>
        </is>
      </c>
      <c r="E29" s="4" t="inlineStr">
        <is>
          <t>◐</t>
        </is>
      </c>
      <c r="F29" s="4" t="inlineStr">
        <is>
          <t>○</t>
        </is>
      </c>
      <c r="G29" s="4" t="inlineStr">
        <is>
          <t>●</t>
        </is>
      </c>
      <c r="H29" s="4" t="inlineStr">
        <is>
          <t>○</t>
        </is>
      </c>
      <c r="I29" s="4" t="inlineStr">
        <is>
          <t>●</t>
        </is>
      </c>
    </row>
    <row r="30">
      <c r="A30" s="4" t="inlineStr">
        <is>
          <t>KOTRA 해외시장뉴스 + 'AI 수출비서' (planned)</t>
        </is>
      </c>
      <c r="B30" s="4" t="inlineStr">
        <is>
          <t>◐</t>
        </is>
      </c>
      <c r="C30" s="4" t="inlineStr">
        <is>
          <t>◐</t>
        </is>
      </c>
      <c r="D30" s="4" t="inlineStr">
        <is>
          <t>◐</t>
        </is>
      </c>
      <c r="E30" s="4" t="inlineStr">
        <is>
          <t>◐</t>
        </is>
      </c>
      <c r="F30" s="4" t="inlineStr">
        <is>
          <t>○</t>
        </is>
      </c>
      <c r="G30" s="4" t="inlineStr">
        <is>
          <t>◐</t>
        </is>
      </c>
      <c r="H30" s="4" t="inlineStr">
        <is>
          <t>○</t>
        </is>
      </c>
      <c r="I30" s="4" t="inlineStr">
        <is>
          <t>●</t>
        </is>
      </c>
    </row>
    <row r="31">
      <c r="A31" s="4" t="inlineStr">
        <is>
          <t>KITA K-stat / TradeNAVI</t>
        </is>
      </c>
      <c r="B31" s="4" t="inlineStr">
        <is>
          <t>●</t>
        </is>
      </c>
      <c r="C31" s="4" t="inlineStr">
        <is>
          <t>○</t>
        </is>
      </c>
      <c r="D31" s="4" t="inlineStr">
        <is>
          <t>●</t>
        </is>
      </c>
      <c r="E31" s="4" t="inlineStr">
        <is>
          <t>○</t>
        </is>
      </c>
      <c r="F31" s="4" t="inlineStr">
        <is>
          <t>○</t>
        </is>
      </c>
      <c r="G31" s="4" t="inlineStr">
        <is>
          <t>○</t>
        </is>
      </c>
      <c r="H31" s="4" t="inlineStr">
        <is>
          <t>○</t>
        </is>
      </c>
      <c r="I31" s="4" t="inlineStr">
        <is>
          <t>●</t>
        </is>
      </c>
    </row>
    <row r="32">
      <c r="A32" s="4" t="inlineStr">
        <is>
          <t>Management consultants</t>
        </is>
      </c>
      <c r="B32" s="4" t="inlineStr">
        <is>
          <t>◐</t>
        </is>
      </c>
      <c r="C32" s="4" t="inlineStr">
        <is>
          <t>●</t>
        </is>
      </c>
      <c r="D32" s="4" t="inlineStr">
        <is>
          <t>◐</t>
        </is>
      </c>
      <c r="E32" s="4" t="inlineStr">
        <is>
          <t>●</t>
        </is>
      </c>
      <c r="F32" s="4" t="inlineStr">
        <is>
          <t>◐</t>
        </is>
      </c>
      <c r="G32" s="4" t="inlineStr">
        <is>
          <t>○</t>
        </is>
      </c>
      <c r="H32" s="4" t="inlineStr">
        <is>
          <t>○</t>
        </is>
      </c>
      <c r="I32" s="4" t="inlineStr">
        <is>
          <t>●</t>
        </is>
      </c>
    </row>
    <row r="33">
      <c r="A33" s="4" t="inlineStr">
        <is>
          <t>In-house spreadsheets</t>
        </is>
      </c>
      <c r="B33" s="4" t="inlineStr">
        <is>
          <t>◐</t>
        </is>
      </c>
      <c r="C33" s="4" t="inlineStr">
        <is>
          <t>○</t>
        </is>
      </c>
      <c r="D33" s="4" t="inlineStr">
        <is>
          <t>○</t>
        </is>
      </c>
      <c r="E33" s="4" t="inlineStr">
        <is>
          <t>◐</t>
        </is>
      </c>
      <c r="F33" s="4" t="inlineStr">
        <is>
          <t>◐</t>
        </is>
      </c>
      <c r="G33" s="4" t="inlineStr">
        <is>
          <t>○</t>
        </is>
      </c>
      <c r="H33" s="4" t="inlineStr">
        <is>
          <t>○</t>
        </is>
      </c>
      <c r="I33" s="4" t="inlineStr">
        <is>
          <t>●</t>
        </is>
      </c>
    </row>
    <row r="34">
      <c r="A34" s="4" t="inlineStr">
        <is>
          <t>WellGTM (target)</t>
        </is>
      </c>
      <c r="B34" s="4" t="inlineStr">
        <is>
          <t>●</t>
        </is>
      </c>
      <c r="C34" s="4" t="inlineStr">
        <is>
          <t>◐</t>
        </is>
      </c>
      <c r="D34" s="4" t="inlineStr">
        <is>
          <t>●</t>
        </is>
      </c>
      <c r="E34" s="4" t="inlineStr">
        <is>
          <t>●</t>
        </is>
      </c>
      <c r="F34" s="4" t="inlineStr">
        <is>
          <t>●</t>
        </is>
      </c>
      <c r="G34" s="4" t="inlineStr">
        <is>
          <t>●</t>
        </is>
      </c>
      <c r="H34" s="4" t="inlineStr">
        <is>
          <t>●</t>
        </is>
      </c>
      <c r="I34" s="4" t="inlineStr">
        <is>
          <t>●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  <col width="50" customWidth="1" min="3" max="3"/>
    <col width="60" customWidth="1" min="4" max="4"/>
  </cols>
  <sheetData>
    <row r="1">
      <c r="A1" s="1" t="inlineStr">
        <is>
          <t>Market trends (B2B and K-food)</t>
        </is>
      </c>
    </row>
    <row r="4">
      <c r="A4" s="3" t="inlineStr">
        <is>
          <t>Theme</t>
        </is>
      </c>
      <c r="B4" s="3" t="inlineStr">
        <is>
          <t>Trend / data point</t>
        </is>
      </c>
      <c r="C4" s="3" t="inlineStr">
        <is>
          <t>Implication for WellGTM</t>
        </is>
      </c>
      <c r="D4" s="3" t="inlineStr">
        <is>
          <t>Source</t>
        </is>
      </c>
    </row>
    <row r="5">
      <c r="A5" s="4" t="inlineStr">
        <is>
          <t>Category sizing</t>
        </is>
      </c>
      <c r="B5" s="4" t="inlineStr">
        <is>
          <t>No standard 'market intelligence software' category exists. Adjacent: trade compliance software US$1.95B (2025) → US$3.09B (2029), ~12% CAGR. BI software estimates range US$40-47B with 3-5x variance across firms.</t>
        </is>
      </c>
      <c r="C5" s="4" t="inlineStr">
        <is>
          <t>Size the opportunity bottom-up (customers × price), not from BI totals.</t>
        </is>
      </c>
      <c r="D5" s="4" t="inlineStr">
        <is>
          <t>The Business Research Company via GlobeNewswire, 2026-01-14; Grand View Research; Precedence Research</t>
        </is>
      </c>
    </row>
    <row r="6">
      <c r="A6" s="4" t="inlineStr">
        <is>
          <t>AI adoption (all sectors)</t>
        </is>
      </c>
      <c r="B6" s="4" t="inlineStr">
        <is>
          <t>88% of organisations use AI in ≥1 function; only ~7% fully scaled; 39% report any EBIT impact.</t>
        </is>
      </c>
      <c r="C6" s="4" t="inlineStr">
        <is>
          <t>Buyers are experimenting but sceptical of value → lead with measurable ROI.</t>
        </is>
      </c>
      <c r="D6" s="4" t="inlineStr">
        <is>
          <t>McKinsey, The State of AI, 2025-11-05</t>
        </is>
      </c>
    </row>
    <row r="7">
      <c r="A7" s="4" t="inlineStr">
        <is>
          <t>AI adoption (CPG)</t>
        </is>
      </c>
      <c r="B7" s="4" t="inlineStr">
        <is>
          <t>CPG adoption of AI in ≥1 function rose 42% (2023) → 71% (2024); 56% regularly use GenAI; 'no CPG player has truly scaled'.</t>
        </is>
      </c>
      <c r="C7" s="4" t="inlineStr">
        <is>
          <t>Food/CPG is receptive but immature → design partner + pilot model fits.</t>
        </is>
      </c>
      <c r="D7" s="4" t="inlineStr">
        <is>
          <t>McKinsey, 'Fortune or fiction?…AI transformation in CPG', Oct 2024</t>
        </is>
      </c>
    </row>
    <row r="8">
      <c r="A8" s="4" t="inlineStr">
        <is>
          <t>AI value gap</t>
        </is>
      </c>
      <c r="B8" s="4" t="inlineStr">
        <is>
          <t>Only 5% of firms are 'future-built'; 60% see minimal value; AI agents ≈17% of AI value in 2025, projected 29% by 2028.</t>
        </is>
      </c>
      <c r="C8" s="4" t="inlineStr">
        <is>
          <t>Agentic features must show concrete outcomes, not novelty.</t>
        </is>
      </c>
      <c r="D8" s="4" t="inlineStr">
        <is>
          <t>BCG, 'Are You Generating Value from AI?', Oct 2025</t>
        </is>
      </c>
    </row>
    <row r="9">
      <c r="A9" s="4" t="inlineStr">
        <is>
          <t>ROI scepticism (retail/CPG)</t>
        </is>
      </c>
      <c r="B9" s="4" t="inlineStr">
        <is>
          <t>75% call AI a top priority, but only 16.5% can quantify ROI.</t>
        </is>
      </c>
      <c r="C9" s="4" t="inlineStr">
        <is>
          <t>Ship an ROI model and measured time savings with the product.</t>
        </is>
      </c>
      <c r="D9" s="4" t="inlineStr">
        <is>
          <t>Deloitte, State of AI in Retail and CPG (date precision UNVERIFIED)</t>
        </is>
      </c>
    </row>
    <row r="10">
      <c r="A10" s="4" t="inlineStr">
        <is>
          <t>Tariff volatility</t>
        </is>
      </c>
      <c r="B10" s="4" t="inlineStr">
        <is>
          <t>~2/3 of trade professionals use tools to analyse trade lanes; &gt;1/2 use tools to identify risk factors; ~75% changing sourcing.</t>
        </is>
      </c>
      <c r="C10" s="4" t="inlineStr">
        <is>
          <t>Continuous tariff/regulation monitoring is a timely buying trigger.</t>
        </is>
      </c>
      <c r="D10" s="4" t="inlineStr">
        <is>
          <t>Thomson Reuters Institute, 2025 Tariffs Survey</t>
        </is>
      </c>
    </row>
    <row r="11">
      <c r="A11" s="4" t="inlineStr">
        <is>
          <t>Tariff-driven tech investment</t>
        </is>
      </c>
      <c r="B11" s="4" t="inlineStr">
        <is>
          <t>48% investing in new tech to manage tariff workload; 51% using GenAI for trade-policy scenario modelling; 44% say tariffs influenced AI adoption.</t>
        </is>
      </c>
      <c r="C11" s="4" t="inlineStr">
        <is>
          <t>Scenario/what-if analysis (weights, tariff filters, simulation) matches demand.</t>
        </is>
      </c>
      <c r="D11" s="4" t="inlineStr">
        <is>
          <t>KPMG, 'Tariff pressures reshape tech investment', Sept 2025 survey</t>
        </is>
      </c>
    </row>
    <row r="12">
      <c r="A12" s="4" t="inlineStr">
        <is>
          <t>US tariff level</t>
        </is>
      </c>
      <c r="B12" s="4" t="inlineStr">
        <is>
          <t>US effective tariff rate 16.8% (Nov 2025), highest since 1935; Korea faces a 15% baseline rate since Aug 2025.</t>
        </is>
      </c>
      <c r="C12" s="4" t="inlineStr">
        <is>
          <t>Tariff overrides with effective dates are required in scoring.</t>
        </is>
      </c>
      <c r="D12" s="4" t="inlineStr">
        <is>
          <t>Yale Budget Lab, 2025-11-17 (re-verify); USTR fact sheet Nov 2025</t>
        </is>
      </c>
    </row>
    <row r="13">
      <c r="A13" s="4" t="inlineStr">
        <is>
          <t>Public AI export tools (Korea)</t>
        </is>
      </c>
      <c r="B13" s="4" t="inlineStr">
        <is>
          <t>aT launched ChaTi (cited RAG over ~80k KATI docs) Dec 2025, won a national innovation award Oct 2026, aims to become a 'K-Food export AI agent'. KOTRA plans an 'AI 수출비서' in 2026.</t>
        </is>
      </c>
      <c r="C13" s="4" t="inlineStr">
        <is>
          <t>Free public tools will cover generic Q&amp;A → differentiate on manufacturer-specific ranking, robustness, monitoring; consider building on public data/partnering.</t>
        </is>
      </c>
      <c r="D13" s="4" t="inlineStr">
        <is>
          <t>Money Today 2026-10-20; Yonhap 2026-03-25</t>
        </is>
      </c>
    </row>
    <row r="14">
      <c r="A14" s="4" t="inlineStr">
        <is>
          <t>Export vouchers</t>
        </is>
      </c>
      <c r="B14" s="4" t="inlineStr">
        <is>
          <t>수출바우처 menu (14 categories) has no SaaS line item; closest is research/consulting (해외시장조사).</t>
        </is>
      </c>
      <c r="C14" s="4" t="inlineStr">
        <is>
          <t>Do not claim voucher eligibility; consider a 'research service' bundle and confirm with KOSMES/aT.</t>
        </is>
      </c>
      <c r="D14" s="4" t="inlineStr">
        <is>
          <t>중소벤처기업부 공고 제2024-629호 (2024-12-30)</t>
        </is>
      </c>
    </row>
    <row r="15">
      <c r="A15" s="4" t="inlineStr">
        <is>
          <t>K-food demand</t>
        </is>
      </c>
      <c r="B15" s="4" t="inlineStr">
        <is>
          <t>Agri-food exports US$10.41B in 2025 (+4.3%); biscuits &amp; confectionery US$770M in 2024 (+17.4%); ice cream US$111M in 2025 (+21.6%).</t>
        </is>
      </c>
      <c r="C15" s="4" t="inlineStr">
        <is>
          <t>A growing exporter base needs better market selection.</t>
        </is>
      </c>
      <c r="D15" s="4" t="inlineStr">
        <is>
          <t>MAFRA 2025-01-09; Yonhap 2026-01-12 (see 02_market_analysis.md)</t>
        </is>
      </c>
    </row>
    <row r="16">
      <c r="A16" s="4" t="inlineStr">
        <is>
          <t>Price vs volume</t>
        </is>
      </c>
      <c r="B16" s="4" t="inlineStr">
        <is>
          <t>Korea's HS 1704/1806/1905/2105 exports: +7.7%/yr value vs ≈0% volume (2020-25); chocolate imports +21.7% value / −13.3% volume in 2025.</t>
        </is>
      </c>
      <c r="C16" s="4" t="inlineStr">
        <is>
          <t>Corrected metrics are a differentiator vs raw-data tools.</t>
        </is>
      </c>
      <c r="D16" s="4" t="inlineStr">
        <is>
          <t>WellGTM analysis of UN Comtrade (03_data_analysis.md)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50" customWidth="1" min="3" max="3"/>
  </cols>
  <sheetData>
    <row r="1">
      <c r="A1" s="1" t="inlineStr">
        <is>
          <t>Illustrative ROI model (base case = hard cost savings only)</t>
        </is>
      </c>
    </row>
    <row r="2">
      <c r="A2" s="2" t="inlineStr">
        <is>
          <t>ALL INPUTS ARE PLACEHOLDER ASSUMPTIONS — replace with client figures. Yellow = input, green = formula.</t>
        </is>
      </c>
    </row>
    <row r="4">
      <c r="A4" s="3" t="inlineStr">
        <is>
          <t>Input</t>
        </is>
      </c>
      <c r="B4" s="3" t="inlineStr">
        <is>
          <t>Value</t>
        </is>
      </c>
      <c r="C4" s="3" t="inlineStr">
        <is>
          <t>Note</t>
        </is>
      </c>
    </row>
    <row r="5">
      <c r="A5" s="5" t="inlineStr">
        <is>
          <t>Market-prioritisation studies per year</t>
        </is>
      </c>
      <c r="B5" s="23" t="n">
        <v>4</v>
      </c>
      <c r="C5" s="5" t="inlineStr">
        <is>
          <t>Placeholder</t>
        </is>
      </c>
    </row>
    <row r="6">
      <c r="A6" s="5" t="inlineStr">
        <is>
          <t>Analyst effort per study — baseline (days)</t>
        </is>
      </c>
      <c r="B6" s="23" t="n">
        <v>45</v>
      </c>
      <c r="C6" s="5" t="inlineStr">
        <is>
          <t>PRD §5.3 baseline assumption</t>
        </is>
      </c>
    </row>
    <row r="7">
      <c r="A7" s="5" t="inlineStr">
        <is>
          <t>Analyst effort per study — with WellGTM (days)</t>
        </is>
      </c>
      <c r="B7" s="23" t="n">
        <v>5</v>
      </c>
      <c r="C7" s="5" t="inlineStr">
        <is>
          <t>Placeholder</t>
        </is>
      </c>
    </row>
    <row r="8">
      <c r="A8" s="5" t="inlineStr">
        <is>
          <t>Fully loaded analyst cost per day (₩)</t>
        </is>
      </c>
      <c r="B8" s="23" t="n">
        <v>500000</v>
      </c>
      <c r="C8" s="5" t="inlineStr">
        <is>
          <t>Placeholder</t>
        </is>
      </c>
    </row>
    <row r="9">
      <c r="A9" s="5" t="inlineStr">
        <is>
          <t>Ad-hoc data requests per month</t>
        </is>
      </c>
      <c r="B9" s="23" t="n">
        <v>20</v>
      </c>
      <c r="C9" s="5" t="inlineStr">
        <is>
          <t>Placeholder</t>
        </is>
      </c>
    </row>
    <row r="10">
      <c r="A10" s="5" t="inlineStr">
        <is>
          <t>Hours saved per ad-hoc request</t>
        </is>
      </c>
      <c r="B10" s="24" t="n">
        <v>3</v>
      </c>
      <c r="C10" s="5" t="inlineStr">
        <is>
          <t>Placeholder</t>
        </is>
      </c>
    </row>
    <row r="11">
      <c r="A11" s="5" t="inlineStr">
        <is>
          <t>Working hours per day</t>
        </is>
      </c>
      <c r="B11" s="23" t="n">
        <v>8</v>
      </c>
      <c r="C11" s="5" t="inlineStr">
        <is>
          <t>Placeholder</t>
        </is>
      </c>
    </row>
    <row r="12">
      <c r="A12" s="5" t="inlineStr">
        <is>
          <t>External consulting studies avoided per year</t>
        </is>
      </c>
      <c r="B12" s="23" t="n">
        <v>1</v>
      </c>
      <c r="C12" s="5" t="inlineStr">
        <is>
          <t>Placeholder</t>
        </is>
      </c>
    </row>
    <row r="13">
      <c r="A13" s="5" t="inlineStr">
        <is>
          <t>Cost per consulting study (₩)</t>
        </is>
      </c>
      <c r="B13" s="23" t="n">
        <v>100000000</v>
      </c>
      <c r="C13" s="5" t="inlineStr">
        <is>
          <t>Placeholder</t>
        </is>
      </c>
    </row>
    <row r="14">
      <c r="A14" s="5" t="inlineStr">
        <is>
          <t>Annual cost of WellGTM (₩)</t>
        </is>
      </c>
      <c r="B14" s="23" t="n">
        <v>60000000</v>
      </c>
      <c r="C14" s="5" t="inlineStr">
        <is>
          <t>Placeholder</t>
        </is>
      </c>
    </row>
    <row r="15">
      <c r="A15" s="5" t="inlineStr">
        <is>
          <t>Upside: new-market entries per year</t>
        </is>
      </c>
      <c r="B15" s="23" t="n">
        <v>1</v>
      </c>
      <c r="C15" s="5" t="inlineStr">
        <is>
          <t>Placeholder</t>
        </is>
      </c>
    </row>
    <row r="16">
      <c r="A16" s="5" t="inlineStr">
        <is>
          <t>Upside: cost of a failed market entry (₩)</t>
        </is>
      </c>
      <c r="B16" s="23" t="n">
        <v>1000000000</v>
      </c>
      <c r="C16" s="5" t="inlineStr">
        <is>
          <t>Placeholder</t>
        </is>
      </c>
    </row>
    <row r="17">
      <c r="A17" s="5" t="inlineStr">
        <is>
          <t>Upside: reduction in failure probability (pp)</t>
        </is>
      </c>
      <c r="B17" s="25" t="n">
        <v>0.1</v>
      </c>
      <c r="C17" s="5" t="inlineStr">
        <is>
          <t>Placeholder</t>
        </is>
      </c>
    </row>
    <row r="19">
      <c r="A19" s="3" t="inlineStr">
        <is>
          <t>Output</t>
        </is>
      </c>
      <c r="B19" s="3" t="inlineStr">
        <is>
          <t>Value (₩)</t>
        </is>
      </c>
      <c r="C19" s="3" t="inlineStr">
        <is>
          <t>Formula</t>
        </is>
      </c>
    </row>
    <row r="20">
      <c r="A20" s="5" t="inlineStr">
        <is>
          <t>Study effort savings</t>
        </is>
      </c>
      <c r="B20" s="26">
        <f>B5*(B6-B7)*B8</f>
        <v/>
      </c>
      <c r="C20" s="5" t="inlineStr">
        <is>
          <t>studies × days saved × day cost</t>
        </is>
      </c>
    </row>
    <row r="21">
      <c r="A21" s="5" t="inlineStr">
        <is>
          <t>Ad-hoc request savings</t>
        </is>
      </c>
      <c r="B21" s="26">
        <f>B9*12*B10*(B8/B11)</f>
        <v/>
      </c>
      <c r="C21" s="5" t="inlineStr">
        <is>
          <t>requests × 12 × hours × hourly cost</t>
        </is>
      </c>
    </row>
    <row r="22">
      <c r="A22" s="5" t="inlineStr">
        <is>
          <t>Consulting avoided</t>
        </is>
      </c>
      <c r="B22" s="26">
        <f>B12*B13</f>
        <v/>
      </c>
      <c r="C22" s="5" t="inlineStr">
        <is>
          <t>studies avoided × cost</t>
        </is>
      </c>
    </row>
    <row r="23">
      <c r="A23" s="27" t="inlineStr">
        <is>
          <t>Total annual benefit (base)</t>
        </is>
      </c>
      <c r="B23" s="26">
        <f>SUM(B20:B22)</f>
        <v/>
      </c>
      <c r="C23" s="5" t="inlineStr">
        <is>
          <t>sum</t>
        </is>
      </c>
    </row>
    <row r="24">
      <c r="A24" s="5" t="inlineStr">
        <is>
          <t>Annual cost</t>
        </is>
      </c>
      <c r="B24" s="26">
        <f>B14</f>
        <v/>
      </c>
      <c r="C24" s="5" t="inlineStr">
        <is>
          <t>input</t>
        </is>
      </c>
    </row>
    <row r="25">
      <c r="A25" s="27" t="inlineStr">
        <is>
          <t>Net benefit</t>
        </is>
      </c>
      <c r="B25" s="26">
        <f>B23-B24</f>
        <v/>
      </c>
      <c r="C25" s="5" t="inlineStr">
        <is>
          <t>benefit − cost</t>
        </is>
      </c>
    </row>
    <row r="26">
      <c r="A26" s="27" t="inlineStr">
        <is>
          <t>ROI</t>
        </is>
      </c>
      <c r="B26" s="28">
        <f>B25/B24</f>
        <v/>
      </c>
      <c r="C26" s="5" t="inlineStr">
        <is>
          <t>net ÷ cost</t>
        </is>
      </c>
    </row>
    <row r="27">
      <c r="A27" s="27" t="inlineStr">
        <is>
          <t>Payback (months)</t>
        </is>
      </c>
      <c r="B27" s="29">
        <f>B24/(B23/12)</f>
        <v/>
      </c>
      <c r="C27" s="5" t="inlineStr">
        <is>
          <t>cost ÷ monthly benefit</t>
        </is>
      </c>
    </row>
    <row r="28">
      <c r="A28" s="5" t="inlineStr">
        <is>
          <t>Upside: expected value of avoided failed entries</t>
        </is>
      </c>
      <c r="B28" s="26">
        <f>B15*B16*B17</f>
        <v/>
      </c>
      <c r="C28" s="5" t="inlineStr">
        <is>
          <t>not included in base ROI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2" customWidth="1" min="3" max="3"/>
    <col width="45" customWidth="1" min="4" max="4"/>
    <col width="18" customWidth="1" min="5" max="5"/>
    <col width="40" customWidth="1" min="6" max="6"/>
    <col width="16" customWidth="1" min="7" max="7"/>
  </cols>
  <sheetData>
    <row r="1">
      <c r="A1" s="1" t="inlineStr">
        <is>
          <t>Value proposition fit map</t>
        </is>
      </c>
    </row>
    <row r="2">
      <c r="A2" s="2" t="inlineStr">
        <is>
          <t>Severity: 4 = highest. Pains are hypotheses until validated by interviews.</t>
        </is>
      </c>
    </row>
    <row r="4">
      <c r="A4" s="3" t="inlineStr">
        <is>
          <t>#</t>
        </is>
      </c>
      <c r="B4" s="3" t="inlineStr">
        <is>
          <t>Pain / gain</t>
        </is>
      </c>
      <c r="C4" s="3" t="inlineStr">
        <is>
          <t>Severity (1-4)</t>
        </is>
      </c>
      <c r="D4" s="3" t="inlineStr">
        <is>
          <t>Pain reliever / gain creator</t>
        </is>
      </c>
      <c r="E4" s="3" t="inlineStr">
        <is>
          <t>Feature (PRD)</t>
        </is>
      </c>
      <c r="F4" s="3" t="inlineStr">
        <is>
          <t>Proof metric</t>
        </is>
      </c>
      <c r="G4" s="3" t="inlineStr">
        <is>
          <t>Validated? (Y/N/Partly)</t>
        </is>
      </c>
    </row>
    <row r="5">
      <c r="A5" s="4" t="inlineStr">
        <is>
          <t>P1</t>
        </is>
      </c>
      <c r="B5" s="4" t="inlineStr">
        <is>
          <t>Data assembly takes weeks; sources fragmented</t>
        </is>
      </c>
      <c r="C5" s="4" t="n">
        <v>4</v>
      </c>
      <c r="D5" s="4" t="inlineStr">
        <is>
          <t>Automated pipeline with provenance</t>
        </is>
      </c>
      <c r="E5" s="4" t="inlineStr">
        <is>
          <t>FR-4.1, FR-3.1</t>
        </is>
      </c>
      <c r="F5" s="4" t="inlineStr">
        <is>
          <t>Measured end-to-end time</t>
        </is>
      </c>
      <c r="G5" s="30" t="inlineStr">
        <is>
          <t>N</t>
        </is>
      </c>
    </row>
    <row r="6">
      <c r="A6" s="4" t="inlineStr">
        <is>
          <t>P2</t>
        </is>
      </c>
      <c r="B6" s="4" t="inlineStr">
        <is>
          <t>Recommendations challenged; weighting implicit</t>
        </is>
      </c>
      <c r="C6" s="4" t="n">
        <v>4</v>
      </c>
      <c r="D6" s="4" t="inlineStr">
        <is>
          <t>Explicit weights, presets, P(TOP3), TOPSIS</t>
        </is>
      </c>
      <c r="E6" s="4" t="inlineStr">
        <is>
          <t>FR-1.1–1.3, 1.12</t>
        </is>
      </c>
      <c r="F6" s="4" t="inlineStr">
        <is>
          <t>Demo robustness</t>
        </is>
      </c>
      <c r="G6" s="30" t="inlineStr">
        <is>
          <t>N</t>
        </is>
      </c>
    </row>
    <row r="7">
      <c r="A7" s="4" t="inlineStr">
        <is>
          <t>P3</t>
        </is>
      </c>
      <c r="B7" s="4" t="inlineStr">
        <is>
          <t>Tariff/regulation changes noticed late</t>
        </is>
      </c>
      <c r="C7" s="4" t="n">
        <v>4</v>
      </c>
      <c r="D7" s="4" t="inlineStr">
        <is>
          <t>Daily refresh + anomaly alerts + e-mail brief</t>
        </is>
      </c>
      <c r="E7" s="4" t="inlineStr">
        <is>
          <t>FR-3.1–3.4</t>
        </is>
      </c>
      <c r="F7" s="4" t="inlineStr">
        <is>
          <t>Injected-spike recall ≥ 90%</t>
        </is>
      </c>
      <c r="G7" s="30" t="inlineStr">
        <is>
          <t>N</t>
        </is>
      </c>
    </row>
    <row r="8">
      <c r="A8" s="4" t="inlineStr">
        <is>
          <t>P4</t>
        </is>
      </c>
      <c r="B8" s="4" t="inlineStr">
        <is>
          <t>Misleading data (nominal growth, hubs, mirror gaps)</t>
        </is>
      </c>
      <c r="C8" s="4" t="n">
        <v>3</v>
      </c>
      <c r="D8" s="4" t="inlineStr">
        <is>
          <t>Volume growth, hub exclusion, mirror warnings</t>
        </is>
      </c>
      <c r="E8" s="4" t="inlineStr">
        <is>
          <t>FR-1.5, 1.6, 1.10</t>
        </is>
      </c>
      <c r="F8" s="4" t="inlineStr">
        <is>
          <t>Naive vs corrected ranking</t>
        </is>
      </c>
      <c r="G8" s="30" t="inlineStr">
        <is>
          <t>N</t>
        </is>
      </c>
    </row>
    <row r="9">
      <c r="A9" s="4" t="inlineStr">
        <is>
          <t>P5</t>
        </is>
      </c>
      <c r="B9" s="4" t="inlineStr">
        <is>
          <t>Regulations scattered, multilingual</t>
        </is>
      </c>
      <c r="C9" s="4" t="n">
        <v>3</v>
      </c>
      <c r="D9" s="4" t="inlineStr">
        <is>
          <t>Regulation RAG with dated citations</t>
        </is>
      </c>
      <c r="E9" s="4" t="inlineStr">
        <is>
          <t>FR-2.4</t>
        </is>
      </c>
      <c r="F9" s="4" t="inlineStr">
        <is>
          <t>RAG hit@5 ≥ 85%</t>
        </is>
      </c>
      <c r="G9" s="30" t="inlineStr">
        <is>
          <t>N</t>
        </is>
      </c>
    </row>
    <row r="10">
      <c r="A10" s="4" t="inlineStr">
        <is>
          <t>P6</t>
        </is>
      </c>
      <c r="B10" s="4" t="inlineStr">
        <is>
          <t>Studies stale; consultants costly</t>
        </is>
      </c>
      <c r="C10" s="4" t="n">
        <v>3</v>
      </c>
      <c r="D10" s="4" t="inlineStr">
        <is>
          <t>Continuous monitoring; on-demand reports</t>
        </is>
      </c>
      <c r="E10" s="4" t="inlineStr">
        <is>
          <t>FR-2.7, FR-3.1</t>
        </is>
      </c>
      <c r="F10" s="4" t="inlineStr">
        <is>
          <t>Daily job success ≥ 95%</t>
        </is>
      </c>
      <c r="G10" s="30" t="inlineStr">
        <is>
          <t>N</t>
        </is>
      </c>
    </row>
    <row r="11">
      <c r="A11" s="4" t="inlineStr">
        <is>
          <t>P7</t>
        </is>
      </c>
      <c r="B11" s="4" t="inlineStr">
        <is>
          <t>Distrust of AI numbers</t>
        </is>
      </c>
      <c r="C11" s="4" t="n">
        <v>3</v>
      </c>
      <c r="D11" s="4" t="inlineStr">
        <is>
          <t>Tools-only facts + verifier + trace</t>
        </is>
      </c>
      <c r="E11" s="4" t="inlineStr">
        <is>
          <t>FR-2.3, FR-2.6</t>
        </is>
      </c>
      <c r="F11" s="4" t="inlineStr">
        <is>
          <t>Numeric faithfulness ≥ 95%</t>
        </is>
      </c>
      <c r="G11" s="30" t="inlineStr">
        <is>
          <t>N</t>
        </is>
      </c>
    </row>
    <row r="12">
      <c r="A12" s="4" t="inlineStr">
        <is>
          <t>P8</t>
        </is>
      </c>
      <c r="B12" s="4" t="inlineStr">
        <is>
          <t>Ad-hoc data requests eat analyst time</t>
        </is>
      </c>
      <c r="C12" s="4" t="n">
        <v>2</v>
      </c>
      <c r="D12" s="4" t="inlineStr">
        <is>
          <t>Self-service profiles, agent Q&amp;A, export</t>
        </is>
      </c>
      <c r="E12" s="4" t="inlineStr">
        <is>
          <t>FR-1.10, FR-2.2</t>
        </is>
      </c>
      <c r="F12" s="4" t="inlineStr">
        <is>
          <t>Minutes per request</t>
        </is>
      </c>
      <c r="G12" s="30" t="inlineStr">
        <is>
          <t>N</t>
        </is>
      </c>
    </row>
    <row r="13">
      <c r="A13" s="4" t="inlineStr">
        <is>
          <t>P9</t>
        </is>
      </c>
      <c r="B13" s="4" t="inlineStr">
        <is>
          <t>Export concentration risk not visible</t>
        </is>
      </c>
      <c r="C13" s="4" t="n">
        <v>2</v>
      </c>
      <c r="D13" s="4" t="inlineStr">
        <is>
          <t>Concentration view</t>
        </is>
      </c>
      <c r="E13" s="4" t="inlineStr">
        <is>
          <t>US-27 (Could)</t>
        </is>
      </c>
      <c r="F13" s="4" t="inlineStr">
        <is>
          <t>Concentration before/after</t>
        </is>
      </c>
      <c r="G13" s="30" t="inlineStr">
        <is>
          <t>N</t>
        </is>
      </c>
    </row>
  </sheetData>
  <dataValidations count="1">
    <dataValidation sqref="G5:G13" showDropDown="0" showInputMessage="0" showErrorMessage="0" allowBlank="0" type="list">
      <formula1>"Y,N,Partly"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40" customWidth="1" min="3" max="3"/>
    <col width="45" customWidth="1" min="4" max="4"/>
    <col width="40" customWidth="1" min="5" max="5"/>
    <col width="18" customWidth="1" min="6" max="6"/>
  </cols>
  <sheetData>
    <row r="1">
      <c r="A1" s="1" t="inlineStr">
        <is>
          <t>Persona summary (proto-personas — validate via interviews)</t>
        </is>
      </c>
    </row>
    <row r="4">
      <c r="A4" s="3" t="inlineStr">
        <is>
          <t>Persona</t>
        </is>
      </c>
      <c r="B4" s="3" t="inlineStr">
        <is>
          <t>Role in buying</t>
        </is>
      </c>
      <c r="C4" s="3" t="inlineStr">
        <is>
          <t>Top goal</t>
        </is>
      </c>
      <c r="D4" s="3" t="inlineStr">
        <is>
          <t>Top pain</t>
        </is>
      </c>
      <c r="E4" s="3" t="inlineStr">
        <is>
          <t>Must-have features</t>
        </is>
      </c>
      <c r="F4" s="3" t="inlineStr">
        <is>
          <t>Validation status</t>
        </is>
      </c>
    </row>
    <row r="5">
      <c r="A5" s="4" t="inlineStr">
        <is>
          <t>A. Global Market Strategy Manager</t>
        </is>
      </c>
      <c r="B5" s="4" t="inlineStr">
        <is>
          <t>Champion / primary user</t>
        </is>
      </c>
      <c r="C5" s="4" t="inlineStr">
        <is>
          <t>Defensible TOP3 per category</t>
        </is>
      </c>
      <c r="D5" s="4" t="inlineStr">
        <is>
          <t>Weeks of data work; method challenged</t>
        </is>
      </c>
      <c r="E5" s="4" t="inlineStr">
        <is>
          <t>Weights, presets, P(TOP3), cited report</t>
        </is>
      </c>
      <c r="F5" s="4" t="inlineStr">
        <is>
          <t>Not validated</t>
        </is>
      </c>
    </row>
    <row r="6">
      <c r="A6" s="4" t="inlineStr">
        <is>
          <t>B. Export Sales Manager</t>
        </is>
      </c>
      <c r="B6" s="4" t="inlineStr">
        <is>
          <t>User / influencer</t>
        </is>
      </c>
      <c r="C6" s="4" t="inlineStr">
        <is>
          <t>Grow exports in own countries</t>
        </is>
      </c>
      <c r="D6" s="4" t="inlineStr">
        <is>
          <t>Learns about changes late</t>
        </is>
      </c>
      <c r="E6" s="4" t="inlineStr">
        <is>
          <t>Watchlist, alerts, country profile</t>
        </is>
      </c>
      <c r="F6" s="4" t="inlineStr">
        <is>
          <t>Not validated</t>
        </is>
      </c>
    </row>
    <row r="7">
      <c r="A7" s="4" t="inlineStr">
        <is>
          <t>C. Sales Ops / Business Analyst</t>
        </is>
      </c>
      <c r="B7" s="4" t="inlineStr">
        <is>
          <t>Power user / data steward</t>
        </is>
      </c>
      <c r="C7" s="4" t="inlineStr">
        <is>
          <t>Stop rebuilding datasets</t>
        </is>
      </c>
      <c r="D7" s="4" t="inlineStr">
        <is>
          <t>Manual downloads, inconsistent numbers</t>
        </is>
      </c>
      <c r="E7" s="4" t="inlineStr">
        <is>
          <t>Provenance, export, methodology</t>
        </is>
      </c>
      <c r="F7" s="4" t="inlineStr">
        <is>
          <t>Not validated</t>
        </is>
      </c>
    </row>
    <row r="8">
      <c r="A8" s="4" t="inlineStr">
        <is>
          <t>D. Regulatory Affairs / QA</t>
        </is>
      </c>
      <c r="B8" s="4" t="inlineStr">
        <is>
          <t>Influencer / can block</t>
        </is>
      </c>
      <c r="C8" s="4" t="inlineStr">
        <is>
          <t>No blocked shipments</t>
        </is>
      </c>
      <c r="D8" s="4" t="inlineStr">
        <is>
          <t>Scattered, changing rules</t>
        </is>
      </c>
      <c r="E8" s="4" t="inlineStr">
        <is>
          <t>Cited regulation RAG, change alerts</t>
        </is>
      </c>
      <c r="F8" s="4" t="inlineStr">
        <is>
          <t>Not validated</t>
        </is>
      </c>
    </row>
    <row r="9">
      <c r="A9" s="4" t="inlineStr">
        <is>
          <t>E. Procurement / Raw Materials</t>
        </is>
      </c>
      <c r="B9" s="4" t="inlineStr">
        <is>
          <t>Occasional user</t>
        </is>
      </c>
      <c r="C9" s="4" t="inlineStr">
        <is>
          <t>Input-cost risk visibility</t>
        </is>
      </c>
      <c r="D9" s="4" t="inlineStr">
        <is>
          <t>Nominal growth hides cocoa effect</t>
        </is>
      </c>
      <c r="E9" s="4" t="inlineStr">
        <is>
          <t>Value vs volume, FX alerts</t>
        </is>
      </c>
      <c r="F9" s="4" t="inlineStr">
        <is>
          <t>Not validated</t>
        </is>
      </c>
    </row>
    <row r="10">
      <c r="A10" s="4" t="inlineStr">
        <is>
          <t>F. Head of Global Business</t>
        </is>
      </c>
      <c r="B10" s="4" t="inlineStr">
        <is>
          <t>Economic buyer</t>
        </is>
      </c>
      <c r="C10" s="4" t="inlineStr">
        <is>
          <t>35% overseas share by 2028</t>
        </is>
      </c>
      <c r="D10" s="4" t="inlineStr">
        <is>
          <t>Costly, stale, inconsistent studies</t>
        </is>
      </c>
      <c r="E10" s="4" t="inlineStr">
        <is>
          <t>One-page TOP3 + confidence</t>
        </is>
      </c>
      <c r="F10" s="4" t="inlineStr">
        <is>
          <t>Not validated</t>
        </is>
      </c>
    </row>
    <row r="11">
      <c r="A11" s="4" t="inlineStr">
        <is>
          <t>G. IT / Information Security</t>
        </is>
      </c>
      <c r="B11" s="4" t="inlineStr">
        <is>
          <t>Gatekeeper (H2+)</t>
        </is>
      </c>
      <c r="C11" s="4" t="inlineStr">
        <is>
          <t>Secure deployment</t>
        </is>
      </c>
      <c r="D11" s="4" t="inlineStr">
        <is>
          <t>Data leakage; unmanaged AI</t>
        </is>
      </c>
      <c r="E11" s="4" t="inlineStr">
        <is>
          <t>SSO, audit, provider choice</t>
        </is>
      </c>
      <c r="F11" s="4" t="inlineStr">
        <is>
          <t>n/a in 예선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2" customWidth="1" min="3" max="3"/>
    <col width="12" customWidth="1" min="4" max="4"/>
    <col width="12" customWidth="1" min="5" max="5"/>
    <col width="50" customWidth="1" min="6" max="6"/>
  </cols>
  <sheetData>
    <row r="1">
      <c r="A1" s="1" t="inlineStr">
        <is>
          <t>Interview recruitment plan</t>
        </is>
      </c>
    </row>
    <row r="2">
      <c r="A2" s="2" t="inlineStr">
        <is>
          <t>Target 8-12 interviews before 본선. Update 'Completed' as you go.</t>
        </is>
      </c>
    </row>
    <row r="4">
      <c r="A4" s="3" t="inlineStr">
        <is>
          <t>Persona</t>
        </is>
      </c>
      <c r="B4" s="3" t="inlineStr">
        <is>
          <t>Target interviews</t>
        </is>
      </c>
      <c r="C4" s="3" t="inlineStr">
        <is>
          <t>Recruited</t>
        </is>
      </c>
      <c r="D4" s="3" t="inlineStr">
        <is>
          <t>Completed</t>
        </is>
      </c>
      <c r="E4" s="3" t="inlineStr">
        <is>
          <t>% complete</t>
        </is>
      </c>
      <c r="F4" s="3" t="inlineStr">
        <is>
          <t>Recruitment channel</t>
        </is>
      </c>
    </row>
    <row r="5">
      <c r="A5" s="5" t="inlineStr">
        <is>
          <t>A. Global Market Strategy Manager</t>
        </is>
      </c>
      <c r="B5" s="5" t="n">
        <v>3</v>
      </c>
      <c r="C5" s="17" t="n">
        <v>0</v>
      </c>
      <c r="D5" s="17" t="n">
        <v>0</v>
      </c>
      <c r="E5" s="28">
        <f>IFERROR(D5/B5,0)</f>
        <v/>
      </c>
      <c r="F5" s="5" t="inlineStr">
        <is>
          <t>Challenge mentors; LinkedIn (food/CPG strategy)</t>
        </is>
      </c>
    </row>
    <row r="6">
      <c r="A6" s="5" t="inlineStr">
        <is>
          <t>B. Export Sales Manager</t>
        </is>
      </c>
      <c r="B6" s="5" t="n">
        <v>2</v>
      </c>
      <c r="C6" s="17" t="n">
        <v>0</v>
      </c>
      <c r="D6" s="17" t="n">
        <v>0</v>
      </c>
      <c r="E6" s="28">
        <f>IFERROR(D6/B6,0)</f>
        <v/>
      </c>
      <c r="F6" s="5" t="inlineStr">
        <is>
          <t>K-food export fairs; KOTRA/aT networks</t>
        </is>
      </c>
    </row>
    <row r="7">
      <c r="A7" s="5" t="inlineStr">
        <is>
          <t>C. Sales Ops / Business Analyst</t>
        </is>
      </c>
      <c r="B7" s="5" t="n">
        <v>1</v>
      </c>
      <c r="C7" s="17" t="n">
        <v>0</v>
      </c>
      <c r="D7" s="17" t="n">
        <v>0</v>
      </c>
      <c r="E7" s="28">
        <f>IFERROR(D7/B7,0)</f>
        <v/>
      </c>
      <c r="F7" s="5" t="inlineStr">
        <is>
          <t>Alumni / LinkedIn</t>
        </is>
      </c>
    </row>
    <row r="8">
      <c r="A8" s="5" t="inlineStr">
        <is>
          <t>D. Regulatory Affairs / QA</t>
        </is>
      </c>
      <c r="B8" s="5" t="n">
        <v>2</v>
      </c>
      <c r="C8" s="17" t="n">
        <v>0</v>
      </c>
      <c r="D8" s="17" t="n">
        <v>0</v>
      </c>
      <c r="E8" s="28">
        <f>IFERROR(D8/B8,0)</f>
        <v/>
      </c>
      <c r="F8" s="5" t="inlineStr">
        <is>
          <t>Food-safety associations; halal certification bodies</t>
        </is>
      </c>
    </row>
    <row r="9">
      <c r="A9" s="5" t="inlineStr">
        <is>
          <t>E. Procurement / Raw Materials</t>
        </is>
      </c>
      <c r="B9" s="5" t="n">
        <v>1</v>
      </c>
      <c r="C9" s="17" t="n">
        <v>0</v>
      </c>
      <c r="D9" s="17" t="n">
        <v>0</v>
      </c>
      <c r="E9" s="28">
        <f>IFERROR(D9/B9,0)</f>
        <v/>
      </c>
      <c r="F9" s="5" t="inlineStr">
        <is>
          <t>Industry contacts</t>
        </is>
      </c>
    </row>
    <row r="10">
      <c r="A10" s="5" t="inlineStr">
        <is>
          <t>F. Head of Global Business</t>
        </is>
      </c>
      <c r="B10" s="5" t="n">
        <v>1</v>
      </c>
      <c r="C10" s="17" t="n">
        <v>0</v>
      </c>
      <c r="D10" s="17" t="n">
        <v>0</v>
      </c>
      <c r="E10" s="28">
        <f>IFERROR(D10/B10,0)</f>
        <v/>
      </c>
      <c r="F10" s="5" t="inlineStr">
        <is>
          <t>Challenge organisers / mentors</t>
        </is>
      </c>
    </row>
    <row r="11">
      <c r="A11" s="5" t="inlineStr">
        <is>
          <t>Export-support organisation advisor</t>
        </is>
      </c>
      <c r="B11" s="5" t="n">
        <v>2</v>
      </c>
      <c r="C11" s="17" t="n">
        <v>0</v>
      </c>
      <c r="D11" s="17" t="n">
        <v>0</v>
      </c>
      <c r="E11" s="28">
        <f>IFERROR(D11/B11,0)</f>
        <v/>
      </c>
      <c r="F11" s="5" t="inlineStr">
        <is>
          <t>aT / KOTRA export desks</t>
        </is>
      </c>
    </row>
    <row r="12">
      <c r="A12" s="15" t="inlineStr">
        <is>
          <t>Total</t>
        </is>
      </c>
      <c r="B12" s="31">
        <f>SUM(B5:B11)</f>
        <v/>
      </c>
      <c r="C12" s="31">
        <f>SUM(C5:C11)</f>
        <v/>
      </c>
      <c r="D12" s="31">
        <f>SUM(D5:D11)</f>
        <v/>
      </c>
      <c r="E12" s="32">
        <f>IFERROR(D12/B12,0)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30" customWidth="1" min="3" max="3"/>
    <col width="24" customWidth="1" min="4" max="4"/>
    <col width="14" customWidth="1" min="5" max="5"/>
    <col width="10" customWidth="1" min="6" max="6"/>
    <col width="40" customWidth="1" min="7" max="7"/>
    <col width="40" customWidth="1" min="8" max="8"/>
    <col width="36" customWidth="1" min="9" max="9"/>
    <col width="24" customWidth="1" min="10" max="10"/>
    <col width="36" customWidth="1" min="11" max="11"/>
    <col width="12" customWidth="1" min="12" max="12"/>
    <col width="16" customWidth="1" min="13" max="13"/>
    <col width="16" customWidth="1" min="14" max="14"/>
    <col width="16" customWidth="1" min="15" max="15"/>
    <col width="30" customWidth="1" min="16" max="16"/>
  </cols>
  <sheetData>
    <row r="1">
      <c r="A1" s="1" t="inlineStr">
        <is>
          <t>Interview log (one row per interview)</t>
        </is>
      </c>
    </row>
    <row r="2">
      <c r="A2" s="2" t="inlineStr">
        <is>
          <t>Do not record personal data beyond what the interviewee consented to.</t>
        </is>
      </c>
    </row>
    <row r="4">
      <c r="A4" s="3" t="inlineStr">
        <is>
          <t>ID</t>
        </is>
      </c>
      <c r="B4" s="3" t="inlineStr">
        <is>
          <t>Date</t>
        </is>
      </c>
      <c r="C4" s="3" t="inlineStr">
        <is>
          <t>Persona</t>
        </is>
      </c>
      <c r="D4" s="3" t="inlineStr">
        <is>
          <t>Organisation type</t>
        </is>
      </c>
      <c r="E4" s="3" t="inlineStr">
        <is>
          <t>Interviewer</t>
        </is>
      </c>
      <c r="F4" s="3" t="inlineStr">
        <is>
          <t>Consent (Y/N)</t>
        </is>
      </c>
      <c r="G4" s="3" t="inlineStr">
        <is>
          <t>Current process (summary)</t>
        </is>
      </c>
      <c r="H4" s="3" t="inlineStr">
        <is>
          <t>Top pains (quotes)</t>
        </is>
      </c>
      <c r="I4" s="3" t="inlineStr">
        <is>
          <t>Gains / desired outcomes</t>
        </is>
      </c>
      <c r="J4" s="3" t="inlineStr">
        <is>
          <t>Tools used today</t>
        </is>
      </c>
      <c r="K4" s="3" t="inlineStr">
        <is>
          <t>Reaction to demo / concept</t>
        </is>
      </c>
      <c r="L4" s="3" t="inlineStr">
        <is>
          <t>Willingness to pilot (1-5)</t>
        </is>
      </c>
      <c r="M4" s="3" t="inlineStr">
        <is>
          <t>Pain tags (P1..P9)</t>
        </is>
      </c>
      <c r="N4" s="3" t="inlineStr">
        <is>
          <t>Hypotheses supported (H#)</t>
        </is>
      </c>
      <c r="O4" s="3" t="inlineStr">
        <is>
          <t>Hypotheses contradicted (H#)</t>
        </is>
      </c>
      <c r="P4" s="3" t="inlineStr">
        <is>
          <t>Follow-ups</t>
        </is>
      </c>
    </row>
  </sheetData>
  <dataValidations count="2">
    <dataValidation sqref="C5:C200" showDropDown="0" showInputMessage="0" showErrorMessage="0" allowBlank="0" type="list">
      <formula1>"Global Market Strategy Manager,Export Sales Manager,Sales Operations / Business An,Regulatory Affairs / QA,Procurement / Raw Materials,Executive (Head of Global Busi,Export-support organisation ad,Other"</formula1>
    </dataValidation>
    <dataValidation sqref="F5:F200" showDropDown="0" showInputMessage="0" showErrorMessage="0" allowBlank="0" type="list">
      <formula1>"Y,N"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22" customWidth="1" min="4" max="4"/>
    <col width="16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</cols>
  <sheetData>
    <row r="1">
      <c r="A1" s="3" t="inlineStr">
        <is>
          <t>ID</t>
        </is>
      </c>
      <c r="B1" s="3" t="inlineStr">
        <is>
          <t>Start time</t>
        </is>
      </c>
      <c r="C1" s="3" t="inlineStr">
        <is>
          <t>Completion time</t>
        </is>
      </c>
      <c r="D1" s="3" t="inlineStr">
        <is>
          <t>Email</t>
        </is>
      </c>
      <c r="E1" s="3" t="inlineStr">
        <is>
          <t>Name</t>
        </is>
      </c>
      <c r="F1" s="3" t="inlineStr">
        <is>
          <t>Which best describes your role?</t>
        </is>
      </c>
      <c r="G1" s="3" t="inlineStr">
        <is>
          <t>What type of organisation do you work for?</t>
        </is>
      </c>
      <c r="H1" s="3" t="inlineStr">
        <is>
          <t>How many export markets does your business currently sell to?</t>
        </is>
      </c>
      <c r="I1" s="3" t="inlineStr">
        <is>
          <t>How involved are you in choosing which export markets to prioritise?</t>
        </is>
      </c>
      <c r="J1" s="3" t="inlineStr">
        <is>
          <t>How often does your team run an export-market prioritisation study?</t>
        </is>
      </c>
      <c r="K1" s="3" t="inlineStr">
        <is>
          <t>How long does one market-prioritisation study usually take end-to-end?</t>
        </is>
      </c>
      <c r="L1" s="3" t="inlineStr">
        <is>
          <t>Which sources do you use today? (select all that apply)</t>
        </is>
      </c>
      <c r="M1" s="3" t="inlineStr">
        <is>
          <t>Collecting and reconciling data from different sources takes too much time.</t>
        </is>
      </c>
      <c r="N1" s="3" t="inlineStr">
        <is>
          <t>Our market recommendations are challenged because the weighting/criteria are not explicit.</t>
        </is>
      </c>
      <c r="O1" s="3" t="inlineStr">
        <is>
          <t>We learn about tariff or regulation changes in our markets too late.</t>
        </is>
      </c>
      <c r="P1" s="3" t="inlineStr">
        <is>
          <t>Market studies are out of date soon after they are finished.</t>
        </is>
      </c>
      <c r="Q1" s="3" t="inlineStr">
        <is>
          <t>It is hard to find reliable, sourced import regulations for a specific country and product.</t>
        </is>
      </c>
      <c r="R1" s="3" t="inlineStr">
        <is>
          <t>How valuable: a ranking of export markets with adjustable criteria weights?</t>
        </is>
      </c>
      <c r="S1" s="3" t="inlineStr">
        <is>
          <t>How valuable: seeing how robust the TOP3 is (probability of staying TOP3 if weights change)?</t>
        </is>
      </c>
      <c r="T1" s="3" t="inlineStr">
        <is>
          <t>How valuable: an AI assistant (Korean/English) that answers with cited sources?</t>
        </is>
      </c>
      <c r="U1" s="3" t="inlineStr">
        <is>
          <t>How valuable: e-mail alerts when something changes in markets you watch?</t>
        </is>
      </c>
      <c r="V1" s="3" t="inlineStr">
        <is>
          <t>How valuable: one-click TOP3 recommendation report (PDF) with sources?</t>
        </is>
      </c>
      <c r="W1" s="3" t="inlineStr">
        <is>
          <t>I would trust AI-generated market insights if every number links to its source.</t>
        </is>
      </c>
      <c r="X1" s="3" t="inlineStr">
        <is>
          <t>What would stop you from using a tool like this? (select all that apply)</t>
        </is>
      </c>
      <c r="Y1" s="3" t="inlineStr">
        <is>
          <t>What is the single biggest problem you face when deciding where to export next?</t>
        </is>
      </c>
      <c r="Z1" s="3" t="inlineStr">
        <is>
          <t>May we contact you for a 30-minute follow-up interview?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66"/>
  <sheetViews>
    <sheetView workbookViewId="0">
      <selection activeCell="A1" sqref="A1"/>
    </sheetView>
  </sheetViews>
  <sheetFormatPr baseColWidth="8" defaultRowHeight="15"/>
  <cols>
    <col width="70" customWidth="1" min="1" max="1"/>
    <col width="16" customWidth="1" min="2" max="2"/>
    <col width="16" customWidth="1" min="3" max="3"/>
    <col width="14" customWidth="1" min="4" max="4"/>
    <col width="18" customWidth="1" min="5" max="5"/>
  </cols>
  <sheetData>
    <row r="1">
      <c r="A1" s="1" t="inlineStr">
        <is>
          <t>Survey analysis (auto-calculated from Survey_Responses rows 2-501)</t>
        </is>
      </c>
    </row>
    <row r="2">
      <c r="A2" s="2" t="inlineStr">
        <is>
          <t>Paste the Microsoft Forms 'Open in Excel' export into Survey_Responses (keep the header row). Likert answers may be text ('4') or numbers.</t>
        </is>
      </c>
    </row>
    <row r="4">
      <c r="A4" s="15" t="inlineStr">
        <is>
          <t>Responses received</t>
        </is>
      </c>
      <c r="B4" s="31">
        <f>COUNTA(Survey_Responses!A2:A501)</f>
        <v/>
      </c>
    </row>
    <row r="6">
      <c r="A6" s="33" t="inlineStr">
        <is>
          <t>Q1. Which best describes your role?</t>
        </is>
      </c>
    </row>
    <row r="7">
      <c r="A7" s="3" t="inlineStr">
        <is>
          <t>Option</t>
        </is>
      </c>
      <c r="B7" s="3" t="inlineStr">
        <is>
          <t>Count</t>
        </is>
      </c>
      <c r="C7" s="3" t="inlineStr">
        <is>
          <t>% of responses</t>
        </is>
      </c>
    </row>
    <row r="8">
      <c r="A8" t="inlineStr">
        <is>
          <t>Global Market Strategy Manager</t>
        </is>
      </c>
      <c r="B8" s="31">
        <f>COUNTIF(Survey_Responses!$F$2:$F$501,"Global Market Strategy Manager")</f>
        <v/>
      </c>
      <c r="C8" s="34">
        <f>IFERROR(B8/$B$4,0)</f>
        <v/>
      </c>
    </row>
    <row r="9">
      <c r="A9" t="inlineStr">
        <is>
          <t>Export Sales Manager</t>
        </is>
      </c>
      <c r="B9" s="31">
        <f>COUNTIF(Survey_Responses!$F$2:$F$501,"Export Sales Manager")</f>
        <v/>
      </c>
      <c r="C9" s="34">
        <f>IFERROR(B9/$B$4,0)</f>
        <v/>
      </c>
    </row>
    <row r="10">
      <c r="A10" t="inlineStr">
        <is>
          <t>Sales Operations / Business Analyst</t>
        </is>
      </c>
      <c r="B10" s="31">
        <f>COUNTIF(Survey_Responses!$F$2:$F$501,"Sales Operations / Business Analyst")</f>
        <v/>
      </c>
      <c r="C10" s="34">
        <f>IFERROR(B10/$B$4,0)</f>
        <v/>
      </c>
    </row>
    <row r="11">
      <c r="A11" t="inlineStr">
        <is>
          <t>Regulatory Affairs / QA</t>
        </is>
      </c>
      <c r="B11" s="31">
        <f>COUNTIF(Survey_Responses!$F$2:$F$501,"Regulatory Affairs / QA")</f>
        <v/>
      </c>
      <c r="C11" s="34">
        <f>IFERROR(B11/$B$4,0)</f>
        <v/>
      </c>
    </row>
    <row r="12">
      <c r="A12" t="inlineStr">
        <is>
          <t>Procurement / Raw Materials</t>
        </is>
      </c>
      <c r="B12" s="31">
        <f>COUNTIF(Survey_Responses!$F$2:$F$501,"Procurement / Raw Materials")</f>
        <v/>
      </c>
      <c r="C12" s="34">
        <f>IFERROR(B12/$B$4,0)</f>
        <v/>
      </c>
    </row>
    <row r="13">
      <c r="A13" t="inlineStr">
        <is>
          <t>Executive (Head of Global Business)</t>
        </is>
      </c>
      <c r="B13" s="31">
        <f>COUNTIF(Survey_Responses!$F$2:$F$501,"Executive (Head of Global Business)")</f>
        <v/>
      </c>
      <c r="C13" s="34">
        <f>IFERROR(B13/$B$4,0)</f>
        <v/>
      </c>
    </row>
    <row r="14">
      <c r="A14" t="inlineStr">
        <is>
          <t>Export-support organisation advisor</t>
        </is>
      </c>
      <c r="B14" s="31">
        <f>COUNTIF(Survey_Responses!$F$2:$F$501,"Export-support organisation advisor")</f>
        <v/>
      </c>
      <c r="C14" s="34">
        <f>IFERROR(B14/$B$4,0)</f>
        <v/>
      </c>
    </row>
    <row r="15">
      <c r="A15" t="inlineStr">
        <is>
          <t>Other</t>
        </is>
      </c>
      <c r="B15" s="31">
        <f>COUNTIF(Survey_Responses!$F$2:$F$501,"Other")</f>
        <v/>
      </c>
      <c r="C15" s="34">
        <f>IFERROR(B15/$B$4,0)</f>
        <v/>
      </c>
    </row>
    <row r="17">
      <c r="A17" s="33" t="inlineStr">
        <is>
          <t>Q2. What type of organisation do you work for?</t>
        </is>
      </c>
    </row>
    <row r="18">
      <c r="A18" s="3" t="inlineStr">
        <is>
          <t>Option</t>
        </is>
      </c>
      <c r="B18" s="3" t="inlineStr">
        <is>
          <t>Count</t>
        </is>
      </c>
      <c r="C18" s="3" t="inlineStr">
        <is>
          <t>% of responses</t>
        </is>
      </c>
    </row>
    <row r="19">
      <c r="A19" t="inlineStr">
        <is>
          <t>Large food/consumer-goods manufacturer</t>
        </is>
      </c>
      <c r="B19" s="31">
        <f>COUNTIF(Survey_Responses!$G$2:$G$501,"Large food/consumer-goods manufacturer")</f>
        <v/>
      </c>
      <c r="C19" s="34">
        <f>IFERROR(B19/$B$4,0)</f>
        <v/>
      </c>
    </row>
    <row r="20">
      <c r="A20" t="inlineStr">
        <is>
          <t>Mid-size or small food manufacturer</t>
        </is>
      </c>
      <c r="B20" s="31">
        <f>COUNTIF(Survey_Responses!$G$2:$G$501,"Mid-size or small food manufacturer")</f>
        <v/>
      </c>
      <c r="C20" s="34">
        <f>IFERROR(B20/$B$4,0)</f>
        <v/>
      </c>
    </row>
    <row r="21">
      <c r="A21" t="inlineStr">
        <is>
          <t>Distributor / trading company</t>
        </is>
      </c>
      <c r="B21" s="31">
        <f>COUNTIF(Survey_Responses!$G$2:$G$501,"Distributor / trading company")</f>
        <v/>
      </c>
      <c r="C21" s="34">
        <f>IFERROR(B21/$B$4,0)</f>
        <v/>
      </c>
    </row>
    <row r="22">
      <c r="A22" t="inlineStr">
        <is>
          <t>Export-support agency or association</t>
        </is>
      </c>
      <c r="B22" s="31">
        <f>COUNTIF(Survey_Responses!$G$2:$G$501,"Export-support agency or association")</f>
        <v/>
      </c>
      <c r="C22" s="34">
        <f>IFERROR(B22/$B$4,0)</f>
        <v/>
      </c>
    </row>
    <row r="23">
      <c r="A23" t="inlineStr">
        <is>
          <t>Other</t>
        </is>
      </c>
      <c r="B23" s="31">
        <f>COUNTIF(Survey_Responses!$G$2:$G$501,"Other")</f>
        <v/>
      </c>
      <c r="C23" s="34">
        <f>IFERROR(B23/$B$4,0)</f>
        <v/>
      </c>
    </row>
    <row r="25">
      <c r="A25" s="33" t="inlineStr">
        <is>
          <t>Q3. How many export markets does your business currently sell to?</t>
        </is>
      </c>
    </row>
    <row r="26">
      <c r="A26" s="3" t="inlineStr">
        <is>
          <t>Option</t>
        </is>
      </c>
      <c r="B26" s="3" t="inlineStr">
        <is>
          <t>Count</t>
        </is>
      </c>
      <c r="C26" s="3" t="inlineStr">
        <is>
          <t>% of responses</t>
        </is>
      </c>
    </row>
    <row r="27">
      <c r="A27" t="inlineStr">
        <is>
          <t>1-5</t>
        </is>
      </c>
      <c r="B27" s="31">
        <f>COUNTIF(Survey_Responses!$H$2:$H$501,"1-5")</f>
        <v/>
      </c>
      <c r="C27" s="34">
        <f>IFERROR(B27/$B$4,0)</f>
        <v/>
      </c>
    </row>
    <row r="28">
      <c r="A28" t="inlineStr">
        <is>
          <t>6-15</t>
        </is>
      </c>
      <c r="B28" s="31">
        <f>COUNTIF(Survey_Responses!$H$2:$H$501,"6-15")</f>
        <v/>
      </c>
      <c r="C28" s="34">
        <f>IFERROR(B28/$B$4,0)</f>
        <v/>
      </c>
    </row>
    <row r="29">
      <c r="A29" t="inlineStr">
        <is>
          <t>16-30</t>
        </is>
      </c>
      <c r="B29" s="31">
        <f>COUNTIF(Survey_Responses!$H$2:$H$501,"16-30")</f>
        <v/>
      </c>
      <c r="C29" s="34">
        <f>IFERROR(B29/$B$4,0)</f>
        <v/>
      </c>
    </row>
    <row r="30">
      <c r="A30" t="inlineStr">
        <is>
          <t>More than 30</t>
        </is>
      </c>
      <c r="B30" s="31">
        <f>COUNTIF(Survey_Responses!$H$2:$H$501,"More than 30")</f>
        <v/>
      </c>
      <c r="C30" s="34">
        <f>IFERROR(B30/$B$4,0)</f>
        <v/>
      </c>
    </row>
    <row r="31">
      <c r="A31" t="inlineStr">
        <is>
          <t>Don't know</t>
        </is>
      </c>
      <c r="B31" s="31">
        <f>COUNTIF(Survey_Responses!$H$2:$H$501,"Don't know")</f>
        <v/>
      </c>
      <c r="C31" s="34">
        <f>IFERROR(B31/$B$4,0)</f>
        <v/>
      </c>
    </row>
    <row r="33">
      <c r="A33" s="33" t="inlineStr">
        <is>
          <t>Q4. How involved are you in choosing which export markets to prioritise?</t>
        </is>
      </c>
    </row>
    <row r="34">
      <c r="A34" s="3" t="inlineStr">
        <is>
          <t>Option</t>
        </is>
      </c>
      <c r="B34" s="3" t="inlineStr">
        <is>
          <t>Count</t>
        </is>
      </c>
      <c r="C34" s="3" t="inlineStr">
        <is>
          <t>% of responses</t>
        </is>
      </c>
    </row>
    <row r="35">
      <c r="A35" t="inlineStr">
        <is>
          <t>I make or approve the decision</t>
        </is>
      </c>
      <c r="B35" s="31">
        <f>COUNTIF(Survey_Responses!$I$2:$I$501,"I make or approve the decision")</f>
        <v/>
      </c>
      <c r="C35" s="34">
        <f>IFERROR(B35/$B$4,0)</f>
        <v/>
      </c>
    </row>
    <row r="36">
      <c r="A36" t="inlineStr">
        <is>
          <t>I prepare the analysis/recommendation</t>
        </is>
      </c>
      <c r="B36" s="31">
        <f>COUNTIF(Survey_Responses!$I$2:$I$501,"I prepare the analysis/recommendation")</f>
        <v/>
      </c>
      <c r="C36" s="34">
        <f>IFERROR(B36/$B$4,0)</f>
        <v/>
      </c>
    </row>
    <row r="37">
      <c r="A37" t="inlineStr">
        <is>
          <t>I provide input (e.g. sales, regulatory)</t>
        </is>
      </c>
      <c r="B37" s="31">
        <f>COUNTIF(Survey_Responses!$I$2:$I$501,"I provide input (e.g. sales, regulatory)")</f>
        <v/>
      </c>
      <c r="C37" s="34">
        <f>IFERROR(B37/$B$4,0)</f>
        <v/>
      </c>
    </row>
    <row r="38">
      <c r="A38" t="inlineStr">
        <is>
          <t>I execute after the decision</t>
        </is>
      </c>
      <c r="B38" s="31">
        <f>COUNTIF(Survey_Responses!$I$2:$I$501,"I execute after the decision")</f>
        <v/>
      </c>
      <c r="C38" s="34">
        <f>IFERROR(B38/$B$4,0)</f>
        <v/>
      </c>
    </row>
    <row r="39">
      <c r="A39" t="inlineStr">
        <is>
          <t>Not involved</t>
        </is>
      </c>
      <c r="B39" s="31">
        <f>COUNTIF(Survey_Responses!$I$2:$I$501,"Not involved")</f>
        <v/>
      </c>
      <c r="C39" s="34">
        <f>IFERROR(B39/$B$4,0)</f>
        <v/>
      </c>
    </row>
    <row r="41">
      <c r="A41" s="33" t="inlineStr">
        <is>
          <t>Q5. How often does your team run an export-market prioritisation study?</t>
        </is>
      </c>
    </row>
    <row r="42">
      <c r="A42" s="3" t="inlineStr">
        <is>
          <t>Option</t>
        </is>
      </c>
      <c r="B42" s="3" t="inlineStr">
        <is>
          <t>Count</t>
        </is>
      </c>
      <c r="C42" s="3" t="inlineStr">
        <is>
          <t>% of responses</t>
        </is>
      </c>
    </row>
    <row r="43">
      <c r="A43" t="inlineStr">
        <is>
          <t>Monthly or more</t>
        </is>
      </c>
      <c r="B43" s="31">
        <f>COUNTIF(Survey_Responses!$J$2:$J$501,"Monthly or more")</f>
        <v/>
      </c>
      <c r="C43" s="34">
        <f>IFERROR(B43/$B$4,0)</f>
        <v/>
      </c>
    </row>
    <row r="44">
      <c r="A44" t="inlineStr">
        <is>
          <t>Quarterly</t>
        </is>
      </c>
      <c r="B44" s="31">
        <f>COUNTIF(Survey_Responses!$J$2:$J$501,"Quarterly")</f>
        <v/>
      </c>
      <c r="C44" s="34">
        <f>IFERROR(B44/$B$4,0)</f>
        <v/>
      </c>
    </row>
    <row r="45">
      <c r="A45" t="inlineStr">
        <is>
          <t>Once or twice a year</t>
        </is>
      </c>
      <c r="B45" s="31">
        <f>COUNTIF(Survey_Responses!$J$2:$J$501,"Once or twice a year")</f>
        <v/>
      </c>
      <c r="C45" s="34">
        <f>IFERROR(B45/$B$4,0)</f>
        <v/>
      </c>
    </row>
    <row r="46">
      <c r="A46" t="inlineStr">
        <is>
          <t>Only when a specific opportunity arises</t>
        </is>
      </c>
      <c r="B46" s="31">
        <f>COUNTIF(Survey_Responses!$J$2:$J$501,"Only when a specific opportunity arises")</f>
        <v/>
      </c>
      <c r="C46" s="34">
        <f>IFERROR(B46/$B$4,0)</f>
        <v/>
      </c>
    </row>
    <row r="47">
      <c r="A47" t="inlineStr">
        <is>
          <t>Never</t>
        </is>
      </c>
      <c r="B47" s="31">
        <f>COUNTIF(Survey_Responses!$J$2:$J$501,"Never")</f>
        <v/>
      </c>
      <c r="C47" s="34">
        <f>IFERROR(B47/$B$4,0)</f>
        <v/>
      </c>
    </row>
    <row r="49">
      <c r="A49" s="33" t="inlineStr">
        <is>
          <t>Q6. How long does one market-prioritisation study usually take end-to-end?</t>
        </is>
      </c>
    </row>
    <row r="50">
      <c r="A50" s="3" t="inlineStr">
        <is>
          <t>Option</t>
        </is>
      </c>
      <c r="B50" s="3" t="inlineStr">
        <is>
          <t>Count</t>
        </is>
      </c>
      <c r="C50" s="3" t="inlineStr">
        <is>
          <t>% of responses</t>
        </is>
      </c>
    </row>
    <row r="51">
      <c r="A51" t="inlineStr">
        <is>
          <t>Less than 1 week</t>
        </is>
      </c>
      <c r="B51" s="31">
        <f>COUNTIF(Survey_Responses!$K$2:$K$501,"Less than 1 week")</f>
        <v/>
      </c>
      <c r="C51" s="34">
        <f>IFERROR(B51/$B$4,0)</f>
        <v/>
      </c>
    </row>
    <row r="52">
      <c r="A52" t="inlineStr">
        <is>
          <t>1-2 weeks</t>
        </is>
      </c>
      <c r="B52" s="31">
        <f>COUNTIF(Survey_Responses!$K$2:$K$501,"1-2 weeks")</f>
        <v/>
      </c>
      <c r="C52" s="34">
        <f>IFERROR(B52/$B$4,0)</f>
        <v/>
      </c>
    </row>
    <row r="53">
      <c r="A53" t="inlineStr">
        <is>
          <t>3-4 weeks</t>
        </is>
      </c>
      <c r="B53" s="31">
        <f>COUNTIF(Survey_Responses!$K$2:$K$501,"3-4 weeks")</f>
        <v/>
      </c>
      <c r="C53" s="34">
        <f>IFERROR(B53/$B$4,0)</f>
        <v/>
      </c>
    </row>
    <row r="54">
      <c r="A54" t="inlineStr">
        <is>
          <t>5-8 weeks</t>
        </is>
      </c>
      <c r="B54" s="31">
        <f>COUNTIF(Survey_Responses!$K$2:$K$501,"5-8 weeks")</f>
        <v/>
      </c>
      <c r="C54" s="34">
        <f>IFERROR(B54/$B$4,0)</f>
        <v/>
      </c>
    </row>
    <row r="55">
      <c r="A55" t="inlineStr">
        <is>
          <t>More than 8 weeks</t>
        </is>
      </c>
      <c r="B55" s="31">
        <f>COUNTIF(Survey_Responses!$K$2:$K$501,"More than 8 weeks")</f>
        <v/>
      </c>
      <c r="C55" s="34">
        <f>IFERROR(B55/$B$4,0)</f>
        <v/>
      </c>
    </row>
    <row r="57">
      <c r="A57" s="33" t="inlineStr">
        <is>
          <t>Q7. Which sources do you use today? (select all that apply)</t>
        </is>
      </c>
    </row>
    <row r="58">
      <c r="A58" s="3" t="inlineStr">
        <is>
          <t>Option</t>
        </is>
      </c>
      <c r="B58" s="3" t="inlineStr">
        <is>
          <t>Count</t>
        </is>
      </c>
      <c r="C58" s="3" t="inlineStr">
        <is>
          <t>% of responses</t>
        </is>
      </c>
    </row>
    <row r="59">
      <c r="A59" t="inlineStr">
        <is>
          <t>UN Comtrade / ITC Trade Map</t>
        </is>
      </c>
      <c r="B59" s="31">
        <f>COUNTIF(Survey_Responses!$L$2:$L$501,"*UN Comtrade / ITC Trade Map*")</f>
        <v/>
      </c>
      <c r="C59" s="34">
        <f>IFERROR(B59/$B$4,0)</f>
        <v/>
      </c>
    </row>
    <row r="60">
      <c r="A60" t="inlineStr">
        <is>
          <t>Korea Customs / KITA trade statistics</t>
        </is>
      </c>
      <c r="B60" s="31">
        <f>COUNTIF(Survey_Responses!$L$2:$L$501,"*Korea Customs / KITA trade statistics*")</f>
        <v/>
      </c>
      <c r="C60" s="34">
        <f>IFERROR(B60/$B$4,0)</f>
        <v/>
      </c>
    </row>
    <row r="61">
      <c r="A61" t="inlineStr">
        <is>
          <t>aT KATI</t>
        </is>
      </c>
      <c r="B61" s="31">
        <f>COUNTIF(Survey_Responses!$L$2:$L$501,"*aT KATI*")</f>
        <v/>
      </c>
      <c r="C61" s="34">
        <f>IFERROR(B61/$B$4,0)</f>
        <v/>
      </c>
    </row>
    <row r="62">
      <c r="A62" t="inlineStr">
        <is>
          <t>KOTRA reports</t>
        </is>
      </c>
      <c r="B62" s="31">
        <f>COUNTIF(Survey_Responses!$L$2:$L$501,"*KOTRA reports*")</f>
        <v/>
      </c>
      <c r="C62" s="34">
        <f>IFERROR(B62/$B$4,0)</f>
        <v/>
      </c>
    </row>
    <row r="63">
      <c r="A63" t="inlineStr">
        <is>
          <t>Euromonitor / Mintel / Statista</t>
        </is>
      </c>
      <c r="B63" s="31">
        <f>COUNTIF(Survey_Responses!$L$2:$L$501,"*Euromonitor / Mintel / Statista*")</f>
        <v/>
      </c>
      <c r="C63" s="34">
        <f>IFERROR(B63/$B$4,0)</f>
        <v/>
      </c>
    </row>
    <row r="64">
      <c r="A64" t="inlineStr">
        <is>
          <t>Consultants</t>
        </is>
      </c>
      <c r="B64" s="31">
        <f>COUNTIF(Survey_Responses!$L$2:$L$501,"*Consultants*")</f>
        <v/>
      </c>
      <c r="C64" s="34">
        <f>IFERROR(B64/$B$4,0)</f>
        <v/>
      </c>
    </row>
    <row r="65">
      <c r="A65" t="inlineStr">
        <is>
          <t>Distributor or partner feedback</t>
        </is>
      </c>
      <c r="B65" s="31">
        <f>COUNTIF(Survey_Responses!$L$2:$L$501,"*Distributor or partner feedback*")</f>
        <v/>
      </c>
      <c r="C65" s="34">
        <f>IFERROR(B65/$B$4,0)</f>
        <v/>
      </c>
    </row>
    <row r="66">
      <c r="A66" t="inlineStr">
        <is>
          <t>Internal sales data</t>
        </is>
      </c>
      <c r="B66" s="31">
        <f>COUNTIF(Survey_Responses!$L$2:$L$501,"*Internal sales data*")</f>
        <v/>
      </c>
      <c r="C66" s="34">
        <f>IFERROR(B66/$B$4,0)</f>
        <v/>
      </c>
    </row>
    <row r="67">
      <c r="A67" t="inlineStr">
        <is>
          <t>News / social media</t>
        </is>
      </c>
      <c r="B67" s="31">
        <f>COUNTIF(Survey_Responses!$L$2:$L$501,"*News / social media*")</f>
        <v/>
      </c>
      <c r="C67" s="34">
        <f>IFERROR(B67/$B$4,0)</f>
        <v/>
      </c>
    </row>
    <row r="69">
      <c r="A69" s="33" t="inlineStr">
        <is>
          <t>Q8. Collecting and reconciling data from different sources takes too much time.</t>
        </is>
      </c>
    </row>
    <row r="70">
      <c r="A70" s="3" t="inlineStr">
        <is>
          <t>Metric</t>
        </is>
      </c>
      <c r="B70" s="3" t="inlineStr">
        <is>
          <t>Value</t>
        </is>
      </c>
    </row>
    <row r="71">
      <c r="A71" t="inlineStr">
        <is>
          <t>Answers</t>
        </is>
      </c>
      <c r="B71" s="31">
        <f>COUNTA(Survey_Responses!$M$2:$M$501)</f>
        <v/>
      </c>
    </row>
    <row r="72">
      <c r="A72" t="inlineStr">
        <is>
          <t>Average (1-5)</t>
        </is>
      </c>
      <c r="B72" s="35">
        <f>IFERROR(SUMPRODUCT(--(LEN(Survey_Responses!$M$2:$M$501)&gt;0),VALUE(LEFT(Survey_Responses!$M$2:$M$501&amp;"0",1)))/B71,"")</f>
        <v/>
      </c>
    </row>
    <row r="73">
      <c r="A73" t="inlineStr">
        <is>
          <t>Top-2-box (% answering 4 or 5)</t>
        </is>
      </c>
      <c r="B73" s="34">
        <f>IFERROR(SUMPRODUCT(--(LEN(Survey_Responses!$M$2:$M$501)&gt;0),--(VALUE(LEFT(Survey_Responses!$M$2:$M$501&amp;"0",1))&gt;=4))/B71,"")</f>
        <v/>
      </c>
    </row>
    <row r="75">
      <c r="A75" s="33" t="inlineStr">
        <is>
          <t>Q9. Our market recommendations are challenged because the weighting/criteria are not explicit.</t>
        </is>
      </c>
    </row>
    <row r="76">
      <c r="A76" s="3" t="inlineStr">
        <is>
          <t>Metric</t>
        </is>
      </c>
      <c r="B76" s="3" t="inlineStr">
        <is>
          <t>Value</t>
        </is>
      </c>
    </row>
    <row r="77">
      <c r="A77" t="inlineStr">
        <is>
          <t>Answers</t>
        </is>
      </c>
      <c r="B77" s="31">
        <f>COUNTA(Survey_Responses!$N$2:$N$501)</f>
        <v/>
      </c>
    </row>
    <row r="78">
      <c r="A78" t="inlineStr">
        <is>
          <t>Average (1-5)</t>
        </is>
      </c>
      <c r="B78" s="35">
        <f>IFERROR(SUMPRODUCT(--(LEN(Survey_Responses!$N$2:$N$501)&gt;0),VALUE(LEFT(Survey_Responses!$N$2:$N$501&amp;"0",1)))/B77,"")</f>
        <v/>
      </c>
    </row>
    <row r="79">
      <c r="A79" t="inlineStr">
        <is>
          <t>Top-2-box (% answering 4 or 5)</t>
        </is>
      </c>
      <c r="B79" s="34">
        <f>IFERROR(SUMPRODUCT(--(LEN(Survey_Responses!$N$2:$N$501)&gt;0),--(VALUE(LEFT(Survey_Responses!$N$2:$N$501&amp;"0",1))&gt;=4))/B77,"")</f>
        <v/>
      </c>
    </row>
    <row r="81">
      <c r="A81" s="33" t="inlineStr">
        <is>
          <t>Q10. We learn about tariff or regulation changes in our markets too late.</t>
        </is>
      </c>
    </row>
    <row r="82">
      <c r="A82" s="3" t="inlineStr">
        <is>
          <t>Metric</t>
        </is>
      </c>
      <c r="B82" s="3" t="inlineStr">
        <is>
          <t>Value</t>
        </is>
      </c>
    </row>
    <row r="83">
      <c r="A83" t="inlineStr">
        <is>
          <t>Answers</t>
        </is>
      </c>
      <c r="B83" s="31">
        <f>COUNTA(Survey_Responses!$O$2:$O$501)</f>
        <v/>
      </c>
    </row>
    <row r="84">
      <c r="A84" t="inlineStr">
        <is>
          <t>Average (1-5)</t>
        </is>
      </c>
      <c r="B84" s="35">
        <f>IFERROR(SUMPRODUCT(--(LEN(Survey_Responses!$O$2:$O$501)&gt;0),VALUE(LEFT(Survey_Responses!$O$2:$O$501&amp;"0",1)))/B83,"")</f>
        <v/>
      </c>
    </row>
    <row r="85">
      <c r="A85" t="inlineStr">
        <is>
          <t>Top-2-box (% answering 4 or 5)</t>
        </is>
      </c>
      <c r="B85" s="34">
        <f>IFERROR(SUMPRODUCT(--(LEN(Survey_Responses!$O$2:$O$501)&gt;0),--(VALUE(LEFT(Survey_Responses!$O$2:$O$501&amp;"0",1))&gt;=4))/B83,"")</f>
        <v/>
      </c>
    </row>
    <row r="87">
      <c r="A87" s="33" t="inlineStr">
        <is>
          <t>Q11. Market studies are out of date soon after they are finished.</t>
        </is>
      </c>
    </row>
    <row r="88">
      <c r="A88" s="3" t="inlineStr">
        <is>
          <t>Metric</t>
        </is>
      </c>
      <c r="B88" s="3" t="inlineStr">
        <is>
          <t>Value</t>
        </is>
      </c>
    </row>
    <row r="89">
      <c r="A89" t="inlineStr">
        <is>
          <t>Answers</t>
        </is>
      </c>
      <c r="B89" s="31">
        <f>COUNTA(Survey_Responses!$P$2:$P$501)</f>
        <v/>
      </c>
    </row>
    <row r="90">
      <c r="A90" t="inlineStr">
        <is>
          <t>Average (1-5)</t>
        </is>
      </c>
      <c r="B90" s="35">
        <f>IFERROR(SUMPRODUCT(--(LEN(Survey_Responses!$P$2:$P$501)&gt;0),VALUE(LEFT(Survey_Responses!$P$2:$P$501&amp;"0",1)))/B89,"")</f>
        <v/>
      </c>
    </row>
    <row r="91">
      <c r="A91" t="inlineStr">
        <is>
          <t>Top-2-box (% answering 4 or 5)</t>
        </is>
      </c>
      <c r="B91" s="34">
        <f>IFERROR(SUMPRODUCT(--(LEN(Survey_Responses!$P$2:$P$501)&gt;0),--(VALUE(LEFT(Survey_Responses!$P$2:$P$501&amp;"0",1))&gt;=4))/B89,"")</f>
        <v/>
      </c>
    </row>
    <row r="93">
      <c r="A93" s="33" t="inlineStr">
        <is>
          <t>Q12. It is hard to find reliable, sourced import regulations for a specific country and product.</t>
        </is>
      </c>
    </row>
    <row r="94">
      <c r="A94" s="3" t="inlineStr">
        <is>
          <t>Metric</t>
        </is>
      </c>
      <c r="B94" s="3" t="inlineStr">
        <is>
          <t>Value</t>
        </is>
      </c>
    </row>
    <row r="95">
      <c r="A95" t="inlineStr">
        <is>
          <t>Answers</t>
        </is>
      </c>
      <c r="B95" s="31">
        <f>COUNTA(Survey_Responses!$Q$2:$Q$501)</f>
        <v/>
      </c>
    </row>
    <row r="96">
      <c r="A96" t="inlineStr">
        <is>
          <t>Average (1-5)</t>
        </is>
      </c>
      <c r="B96" s="35">
        <f>IFERROR(SUMPRODUCT(--(LEN(Survey_Responses!$Q$2:$Q$501)&gt;0),VALUE(LEFT(Survey_Responses!$Q$2:$Q$501&amp;"0",1)))/B95,"")</f>
        <v/>
      </c>
    </row>
    <row r="97">
      <c r="A97" t="inlineStr">
        <is>
          <t>Top-2-box (% answering 4 or 5)</t>
        </is>
      </c>
      <c r="B97" s="34">
        <f>IFERROR(SUMPRODUCT(--(LEN(Survey_Responses!$Q$2:$Q$501)&gt;0),--(VALUE(LEFT(Survey_Responses!$Q$2:$Q$501&amp;"0",1))&gt;=4))/B95,"")</f>
        <v/>
      </c>
    </row>
    <row r="99">
      <c r="A99" s="33" t="inlineStr">
        <is>
          <t>Q13. How valuable: a ranking of export markets with adjustable criteria weights?</t>
        </is>
      </c>
    </row>
    <row r="100">
      <c r="A100" s="3" t="inlineStr">
        <is>
          <t>Metric</t>
        </is>
      </c>
      <c r="B100" s="3" t="inlineStr">
        <is>
          <t>Value</t>
        </is>
      </c>
    </row>
    <row r="101">
      <c r="A101" t="inlineStr">
        <is>
          <t>Answers</t>
        </is>
      </c>
      <c r="B101" s="31">
        <f>COUNTA(Survey_Responses!$R$2:$R$501)</f>
        <v/>
      </c>
    </row>
    <row r="102">
      <c r="A102" t="inlineStr">
        <is>
          <t>Average (1-5)</t>
        </is>
      </c>
      <c r="B102" s="35">
        <f>IFERROR(SUMPRODUCT(--(LEN(Survey_Responses!$R$2:$R$501)&gt;0),VALUE(LEFT(Survey_Responses!$R$2:$R$501&amp;"0",1)))/B101,"")</f>
        <v/>
      </c>
    </row>
    <row r="103">
      <c r="A103" t="inlineStr">
        <is>
          <t>Top-2-box (% answering 4 or 5)</t>
        </is>
      </c>
      <c r="B103" s="34">
        <f>IFERROR(SUMPRODUCT(--(LEN(Survey_Responses!$R$2:$R$501)&gt;0),--(VALUE(LEFT(Survey_Responses!$R$2:$R$501&amp;"0",1))&gt;=4))/B101,"")</f>
        <v/>
      </c>
    </row>
    <row r="105">
      <c r="A105" s="33" t="inlineStr">
        <is>
          <t>Q14. How valuable: seeing how robust the TOP3 is (probability of staying TOP3 if weights change)?</t>
        </is>
      </c>
    </row>
    <row r="106">
      <c r="A106" s="3" t="inlineStr">
        <is>
          <t>Metric</t>
        </is>
      </c>
      <c r="B106" s="3" t="inlineStr">
        <is>
          <t>Value</t>
        </is>
      </c>
    </row>
    <row r="107">
      <c r="A107" t="inlineStr">
        <is>
          <t>Answers</t>
        </is>
      </c>
      <c r="B107" s="31">
        <f>COUNTA(Survey_Responses!$S$2:$S$501)</f>
        <v/>
      </c>
    </row>
    <row r="108">
      <c r="A108" t="inlineStr">
        <is>
          <t>Average (1-5)</t>
        </is>
      </c>
      <c r="B108" s="35">
        <f>IFERROR(SUMPRODUCT(--(LEN(Survey_Responses!$S$2:$S$501)&gt;0),VALUE(LEFT(Survey_Responses!$S$2:$S$501&amp;"0",1)))/B107,"")</f>
        <v/>
      </c>
    </row>
    <row r="109">
      <c r="A109" t="inlineStr">
        <is>
          <t>Top-2-box (% answering 4 or 5)</t>
        </is>
      </c>
      <c r="B109" s="34">
        <f>IFERROR(SUMPRODUCT(--(LEN(Survey_Responses!$S$2:$S$501)&gt;0),--(VALUE(LEFT(Survey_Responses!$S$2:$S$501&amp;"0",1))&gt;=4))/B107,"")</f>
        <v/>
      </c>
    </row>
    <row r="111">
      <c r="A111" s="33" t="inlineStr">
        <is>
          <t>Q15. How valuable: an AI assistant (Korean/English) that answers with cited sources?</t>
        </is>
      </c>
    </row>
    <row r="112">
      <c r="A112" s="3" t="inlineStr">
        <is>
          <t>Metric</t>
        </is>
      </c>
      <c r="B112" s="3" t="inlineStr">
        <is>
          <t>Value</t>
        </is>
      </c>
    </row>
    <row r="113">
      <c r="A113" t="inlineStr">
        <is>
          <t>Answers</t>
        </is>
      </c>
      <c r="B113" s="31">
        <f>COUNTA(Survey_Responses!$T$2:$T$501)</f>
        <v/>
      </c>
    </row>
    <row r="114">
      <c r="A114" t="inlineStr">
        <is>
          <t>Average (1-5)</t>
        </is>
      </c>
      <c r="B114" s="35">
        <f>IFERROR(SUMPRODUCT(--(LEN(Survey_Responses!$T$2:$T$501)&gt;0),VALUE(LEFT(Survey_Responses!$T$2:$T$501&amp;"0",1)))/B113,"")</f>
        <v/>
      </c>
    </row>
    <row r="115">
      <c r="A115" t="inlineStr">
        <is>
          <t>Top-2-box (% answering 4 or 5)</t>
        </is>
      </c>
      <c r="B115" s="34">
        <f>IFERROR(SUMPRODUCT(--(LEN(Survey_Responses!$T$2:$T$501)&gt;0),--(VALUE(LEFT(Survey_Responses!$T$2:$T$501&amp;"0",1))&gt;=4))/B113,"")</f>
        <v/>
      </c>
    </row>
    <row r="117">
      <c r="A117" s="33" t="inlineStr">
        <is>
          <t>Q16. How valuable: e-mail alerts when something changes in markets you watch?</t>
        </is>
      </c>
    </row>
    <row r="118">
      <c r="A118" s="3" t="inlineStr">
        <is>
          <t>Metric</t>
        </is>
      </c>
      <c r="B118" s="3" t="inlineStr">
        <is>
          <t>Value</t>
        </is>
      </c>
    </row>
    <row r="119">
      <c r="A119" t="inlineStr">
        <is>
          <t>Answers</t>
        </is>
      </c>
      <c r="B119" s="31">
        <f>COUNTA(Survey_Responses!$U$2:$U$501)</f>
        <v/>
      </c>
    </row>
    <row r="120">
      <c r="A120" t="inlineStr">
        <is>
          <t>Average (1-5)</t>
        </is>
      </c>
      <c r="B120" s="35">
        <f>IFERROR(SUMPRODUCT(--(LEN(Survey_Responses!$U$2:$U$501)&gt;0),VALUE(LEFT(Survey_Responses!$U$2:$U$501&amp;"0",1)))/B119,"")</f>
        <v/>
      </c>
    </row>
    <row r="121">
      <c r="A121" t="inlineStr">
        <is>
          <t>Top-2-box (% answering 4 or 5)</t>
        </is>
      </c>
      <c r="B121" s="34">
        <f>IFERROR(SUMPRODUCT(--(LEN(Survey_Responses!$U$2:$U$501)&gt;0),--(VALUE(LEFT(Survey_Responses!$U$2:$U$501&amp;"0",1))&gt;=4))/B119,"")</f>
        <v/>
      </c>
    </row>
    <row r="123">
      <c r="A123" s="33" t="inlineStr">
        <is>
          <t>Q17. How valuable: one-click TOP3 recommendation report (PDF) with sources?</t>
        </is>
      </c>
    </row>
    <row r="124">
      <c r="A124" s="3" t="inlineStr">
        <is>
          <t>Metric</t>
        </is>
      </c>
      <c r="B124" s="3" t="inlineStr">
        <is>
          <t>Value</t>
        </is>
      </c>
    </row>
    <row r="125">
      <c r="A125" t="inlineStr">
        <is>
          <t>Answers</t>
        </is>
      </c>
      <c r="B125" s="31">
        <f>COUNTA(Survey_Responses!$V$2:$V$501)</f>
        <v/>
      </c>
    </row>
    <row r="126">
      <c r="A126" t="inlineStr">
        <is>
          <t>Average (1-5)</t>
        </is>
      </c>
      <c r="B126" s="35">
        <f>IFERROR(SUMPRODUCT(--(LEN(Survey_Responses!$V$2:$V$501)&gt;0),VALUE(LEFT(Survey_Responses!$V$2:$V$501&amp;"0",1)))/B125,"")</f>
        <v/>
      </c>
    </row>
    <row r="127">
      <c r="A127" t="inlineStr">
        <is>
          <t>Top-2-box (% answering 4 or 5)</t>
        </is>
      </c>
      <c r="B127" s="34">
        <f>IFERROR(SUMPRODUCT(--(LEN(Survey_Responses!$V$2:$V$501)&gt;0),--(VALUE(LEFT(Survey_Responses!$V$2:$V$501&amp;"0",1))&gt;=4))/B125,"")</f>
        <v/>
      </c>
    </row>
    <row r="129">
      <c r="A129" s="33" t="inlineStr">
        <is>
          <t>Q18. I would trust AI-generated market insights if every number links to its source.</t>
        </is>
      </c>
    </row>
    <row r="130">
      <c r="A130" s="3" t="inlineStr">
        <is>
          <t>Metric</t>
        </is>
      </c>
      <c r="B130" s="3" t="inlineStr">
        <is>
          <t>Value</t>
        </is>
      </c>
    </row>
    <row r="131">
      <c r="A131" t="inlineStr">
        <is>
          <t>Answers</t>
        </is>
      </c>
      <c r="B131" s="31">
        <f>COUNTA(Survey_Responses!$W$2:$W$501)</f>
        <v/>
      </c>
    </row>
    <row r="132">
      <c r="A132" t="inlineStr">
        <is>
          <t>Average (1-5)</t>
        </is>
      </c>
      <c r="B132" s="35">
        <f>IFERROR(SUMPRODUCT(--(LEN(Survey_Responses!$W$2:$W$501)&gt;0),VALUE(LEFT(Survey_Responses!$W$2:$W$501&amp;"0",1)))/B131,"")</f>
        <v/>
      </c>
    </row>
    <row r="133">
      <c r="A133" t="inlineStr">
        <is>
          <t>Top-2-box (% answering 4 or 5)</t>
        </is>
      </c>
      <c r="B133" s="34">
        <f>IFERROR(SUMPRODUCT(--(LEN(Survey_Responses!$W$2:$W$501)&gt;0),--(VALUE(LEFT(Survey_Responses!$W$2:$W$501&amp;"0",1))&gt;=4))/B131,"")</f>
        <v/>
      </c>
    </row>
    <row r="135">
      <c r="A135" s="33" t="inlineStr">
        <is>
          <t>Q19. What would stop you from using a tool like this? (select all that apply)</t>
        </is>
      </c>
    </row>
    <row r="136">
      <c r="A136" s="3" t="inlineStr">
        <is>
          <t>Option</t>
        </is>
      </c>
      <c r="B136" s="3" t="inlineStr">
        <is>
          <t>Count</t>
        </is>
      </c>
      <c r="C136" s="3" t="inlineStr">
        <is>
          <t>% of responses</t>
        </is>
      </c>
    </row>
    <row r="137">
      <c r="A137" t="inlineStr">
        <is>
          <t>Accuracy concerns</t>
        </is>
      </c>
      <c r="B137" s="31">
        <f>COUNTIF(Survey_Responses!$X$2:$X$501,"*Accuracy concerns*")</f>
        <v/>
      </c>
      <c r="C137" s="34">
        <f>IFERROR(B137/$B$4,0)</f>
        <v/>
      </c>
    </row>
    <row r="138">
      <c r="A138" t="inlineStr">
        <is>
          <t>Data security / confidentiality</t>
        </is>
      </c>
      <c r="B138" s="31">
        <f>COUNTIF(Survey_Responses!$X$2:$X$501,"*Data security / confidentiality*")</f>
        <v/>
      </c>
      <c r="C138" s="34">
        <f>IFERROR(B138/$B$4,0)</f>
        <v/>
      </c>
    </row>
    <row r="139">
      <c r="A139" t="inlineStr">
        <is>
          <t>Does not fit our workflow</t>
        </is>
      </c>
      <c r="B139" s="31">
        <f>COUNTIF(Survey_Responses!$X$2:$X$501,"*Does not fit our workflow*")</f>
        <v/>
      </c>
      <c r="C139" s="34">
        <f>IFERROR(B139/$B$4,0)</f>
        <v/>
      </c>
    </row>
    <row r="140">
      <c r="A140" t="inlineStr">
        <is>
          <t>Language support</t>
        </is>
      </c>
      <c r="B140" s="31">
        <f>COUNTIF(Survey_Responses!$X$2:$X$501,"*Language support*")</f>
        <v/>
      </c>
      <c r="C140" s="34">
        <f>IFERROR(B140/$B$4,0)</f>
        <v/>
      </c>
    </row>
    <row r="141">
      <c r="A141" t="inlineStr">
        <is>
          <t>Cost</t>
        </is>
      </c>
      <c r="B141" s="31">
        <f>COUNTIF(Survey_Responses!$X$2:$X$501,"*Cost*")</f>
        <v/>
      </c>
      <c r="C141" s="34">
        <f>IFERROR(B141/$B$4,0)</f>
        <v/>
      </c>
    </row>
    <row r="142">
      <c r="A142" t="inlineStr">
        <is>
          <t>Too many alerts</t>
        </is>
      </c>
      <c r="B142" s="31">
        <f>COUNTIF(Survey_Responses!$X$2:$X$501,"*Too many alerts*")</f>
        <v/>
      </c>
      <c r="C142" s="34">
        <f>IFERROR(B142/$B$4,0)</f>
        <v/>
      </c>
    </row>
    <row r="143">
      <c r="A143" t="inlineStr">
        <is>
          <t>Prefer consultants</t>
        </is>
      </c>
      <c r="B143" s="31">
        <f>COUNTIF(Survey_Responses!$X$2:$X$501,"*Prefer consultants*")</f>
        <v/>
      </c>
      <c r="C143" s="34">
        <f>IFERROR(B143/$B$4,0)</f>
        <v/>
      </c>
    </row>
    <row r="144">
      <c r="A144" t="inlineStr">
        <is>
          <t>Nothing</t>
        </is>
      </c>
      <c r="B144" s="31">
        <f>COUNTIF(Survey_Responses!$X$2:$X$501,"*Nothing*")</f>
        <v/>
      </c>
      <c r="C144" s="34">
        <f>IFERROR(B144/$B$4,0)</f>
        <v/>
      </c>
    </row>
    <row r="146">
      <c r="A146" s="33" t="inlineStr">
        <is>
          <t>Q20. What is the single biggest problem you face when deciding where to export next?</t>
        </is>
      </c>
    </row>
    <row r="147">
      <c r="A147" s="36" t="inlineStr">
        <is>
          <t>Free text — code answers in Insight_Synthesis.</t>
        </is>
      </c>
    </row>
    <row r="149">
      <c r="A149" s="33" t="inlineStr">
        <is>
          <t>Q21. May we contact you for a 30-minute follow-up interview?</t>
        </is>
      </c>
    </row>
    <row r="150">
      <c r="A150" s="3" t="inlineStr">
        <is>
          <t>Option</t>
        </is>
      </c>
      <c r="B150" s="3" t="inlineStr">
        <is>
          <t>Count</t>
        </is>
      </c>
      <c r="C150" s="3" t="inlineStr">
        <is>
          <t>% of responses</t>
        </is>
      </c>
    </row>
    <row r="151">
      <c r="A151" t="inlineStr">
        <is>
          <t>Yes</t>
        </is>
      </c>
      <c r="B151" s="31">
        <f>COUNTIF(Survey_Responses!$Z$2:$Z$501,"Yes")</f>
        <v/>
      </c>
      <c r="C151" s="34">
        <f>IFERROR(B151/$B$4,0)</f>
        <v/>
      </c>
    </row>
    <row r="152">
      <c r="A152" t="inlineStr">
        <is>
          <t>No</t>
        </is>
      </c>
      <c r="B152" s="31">
        <f>COUNTIF(Survey_Responses!$Z$2:$Z$501,"No")</f>
        <v/>
      </c>
      <c r="C152" s="34">
        <f>IFERROR(B152/$B$4,0)</f>
        <v/>
      </c>
    </row>
    <row r="154">
      <c r="A154" s="20" t="inlineStr">
        <is>
          <t>Summary: pains and features ranked by average score</t>
        </is>
      </c>
    </row>
    <row r="155">
      <c r="A155" s="3" t="inlineStr">
        <is>
          <t>Question</t>
        </is>
      </c>
      <c r="B155" s="3" t="inlineStr">
        <is>
          <t>Section</t>
        </is>
      </c>
      <c r="C155" s="3" t="inlineStr">
        <is>
          <t>Average</t>
        </is>
      </c>
      <c r="D155" s="3" t="inlineStr">
        <is>
          <t>Top-2-box</t>
        </is>
      </c>
      <c r="E155" s="3" t="inlineStr">
        <is>
          <t>Rank within section</t>
        </is>
      </c>
    </row>
    <row r="156">
      <c r="A156" s="37" t="inlineStr">
        <is>
          <t>Q8. Collecting and reconciling data from different sources takes too much time.</t>
        </is>
      </c>
      <c r="B156" t="inlineStr">
        <is>
          <t>C. Pain points</t>
        </is>
      </c>
      <c r="C156" s="35">
        <f>B72</f>
        <v/>
      </c>
      <c r="D156" s="34">
        <f>B73</f>
        <v/>
      </c>
      <c r="E156" s="31">
        <f>IF(C156="","",COUNTIFS($B$156:$B$166,B156,$C$156:$C$166,"&gt;"&amp;C156)+1)</f>
        <v/>
      </c>
    </row>
    <row r="157">
      <c r="A157" s="37" t="inlineStr">
        <is>
          <t>Q9. Our market recommendations are challenged because the weighting/criteria are not explicit.</t>
        </is>
      </c>
      <c r="B157" t="inlineStr">
        <is>
          <t>C. Pain points</t>
        </is>
      </c>
      <c r="C157" s="35">
        <f>B78</f>
        <v/>
      </c>
      <c r="D157" s="34">
        <f>B79</f>
        <v/>
      </c>
      <c r="E157" s="31">
        <f>IF(C157="","",COUNTIFS($B$156:$B$166,B157,$C$156:$C$166,"&gt;"&amp;C157)+1)</f>
        <v/>
      </c>
    </row>
    <row r="158">
      <c r="A158" s="37" t="inlineStr">
        <is>
          <t>Q10. We learn about tariff or regulation changes in our markets too late.</t>
        </is>
      </c>
      <c r="B158" t="inlineStr">
        <is>
          <t>C. Pain points</t>
        </is>
      </c>
      <c r="C158" s="35">
        <f>B84</f>
        <v/>
      </c>
      <c r="D158" s="34">
        <f>B85</f>
        <v/>
      </c>
      <c r="E158" s="31">
        <f>IF(C158="","",COUNTIFS($B$156:$B$166,B158,$C$156:$C$166,"&gt;"&amp;C158)+1)</f>
        <v/>
      </c>
    </row>
    <row r="159">
      <c r="A159" s="37" t="inlineStr">
        <is>
          <t>Q11. Market studies are out of date soon after they are finished.</t>
        </is>
      </c>
      <c r="B159" t="inlineStr">
        <is>
          <t>C. Pain points</t>
        </is>
      </c>
      <c r="C159" s="35">
        <f>B90</f>
        <v/>
      </c>
      <c r="D159" s="34">
        <f>B91</f>
        <v/>
      </c>
      <c r="E159" s="31">
        <f>IF(C159="","",COUNTIFS($B$156:$B$166,B159,$C$156:$C$166,"&gt;"&amp;C159)+1)</f>
        <v/>
      </c>
    </row>
    <row r="160">
      <c r="A160" s="37" t="inlineStr">
        <is>
          <t>Q12. It is hard to find reliable, sourced import regulations for a specific country and product.</t>
        </is>
      </c>
      <c r="B160" t="inlineStr">
        <is>
          <t>C. Pain points</t>
        </is>
      </c>
      <c r="C160" s="35">
        <f>B96</f>
        <v/>
      </c>
      <c r="D160" s="34">
        <f>B97</f>
        <v/>
      </c>
      <c r="E160" s="31">
        <f>IF(C160="","",COUNTIFS($B$156:$B$166,B160,$C$156:$C$166,"&gt;"&amp;C160)+1)</f>
        <v/>
      </c>
    </row>
    <row r="161">
      <c r="A161" s="37" t="inlineStr">
        <is>
          <t>Q13. How valuable: a ranking of export markets with adjustable criteria weights?</t>
        </is>
      </c>
      <c r="B161" t="inlineStr">
        <is>
          <t>D. Feature value</t>
        </is>
      </c>
      <c r="C161" s="35">
        <f>B102</f>
        <v/>
      </c>
      <c r="D161" s="34">
        <f>B103</f>
        <v/>
      </c>
      <c r="E161" s="31">
        <f>IF(C161="","",COUNTIFS($B$156:$B$166,B161,$C$156:$C$166,"&gt;"&amp;C161)+1)</f>
        <v/>
      </c>
    </row>
    <row r="162">
      <c r="A162" s="37" t="inlineStr">
        <is>
          <t>Q14. How valuable: seeing how robust the TOP3 is (probability of staying TOP3 if weights change)?</t>
        </is>
      </c>
      <c r="B162" t="inlineStr">
        <is>
          <t>D. Feature value</t>
        </is>
      </c>
      <c r="C162" s="35">
        <f>B108</f>
        <v/>
      </c>
      <c r="D162" s="34">
        <f>B109</f>
        <v/>
      </c>
      <c r="E162" s="31">
        <f>IF(C162="","",COUNTIFS($B$156:$B$166,B162,$C$156:$C$166,"&gt;"&amp;C162)+1)</f>
        <v/>
      </c>
    </row>
    <row r="163">
      <c r="A163" s="37" t="inlineStr">
        <is>
          <t>Q15. How valuable: an AI assistant (Korean/English) that answers with cited sources?</t>
        </is>
      </c>
      <c r="B163" t="inlineStr">
        <is>
          <t>D. Feature value</t>
        </is>
      </c>
      <c r="C163" s="35">
        <f>B114</f>
        <v/>
      </c>
      <c r="D163" s="34">
        <f>B115</f>
        <v/>
      </c>
      <c r="E163" s="31">
        <f>IF(C163="","",COUNTIFS($B$156:$B$166,B163,$C$156:$C$166,"&gt;"&amp;C163)+1)</f>
        <v/>
      </c>
    </row>
    <row r="164">
      <c r="A164" s="37" t="inlineStr">
        <is>
          <t>Q16. How valuable: e-mail alerts when something changes in markets you watch?</t>
        </is>
      </c>
      <c r="B164" t="inlineStr">
        <is>
          <t>D. Feature value</t>
        </is>
      </c>
      <c r="C164" s="35">
        <f>B120</f>
        <v/>
      </c>
      <c r="D164" s="34">
        <f>B121</f>
        <v/>
      </c>
      <c r="E164" s="31">
        <f>IF(C164="","",COUNTIFS($B$156:$B$166,B164,$C$156:$C$166,"&gt;"&amp;C164)+1)</f>
        <v/>
      </c>
    </row>
    <row r="165">
      <c r="A165" s="37" t="inlineStr">
        <is>
          <t>Q17. How valuable: one-click TOP3 recommendation report (PDF) with sources?</t>
        </is>
      </c>
      <c r="B165" t="inlineStr">
        <is>
          <t>D. Feature value</t>
        </is>
      </c>
      <c r="C165" s="35">
        <f>B126</f>
        <v/>
      </c>
      <c r="D165" s="34">
        <f>B127</f>
        <v/>
      </c>
      <c r="E165" s="31">
        <f>IF(C165="","",COUNTIFS($B$156:$B$166,B165,$C$156:$C$166,"&gt;"&amp;C165)+1)</f>
        <v/>
      </c>
    </row>
    <row r="166">
      <c r="A166" s="37" t="inlineStr">
        <is>
          <t>Q18. I would trust AI-generated market insights if every number links to its source.</t>
        </is>
      </c>
      <c r="B166" t="inlineStr">
        <is>
          <t>E. Trust &amp; adoption</t>
        </is>
      </c>
      <c r="C166" s="35">
        <f>B132</f>
        <v/>
      </c>
      <c r="D166" s="34">
        <f>B133</f>
        <v/>
      </c>
      <c r="E166" s="31">
        <f>IF(C166="","",COUNTIFS($B$156:$B$166,B166,$C$156:$C$166,"&gt;"&amp;C166)+1)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18" customWidth="1" min="3" max="3"/>
    <col width="40" customWidth="1" min="4" max="4"/>
    <col width="12" customWidth="1" min="5" max="5"/>
    <col width="12" customWidth="1" min="6" max="6"/>
    <col width="16" customWidth="1" min="7" max="7"/>
    <col width="50" customWidth="1" min="8" max="8"/>
  </cols>
  <sheetData>
    <row r="1">
      <c r="A1" s="1" t="inlineStr">
        <is>
          <t>Hypotheses &amp; insight synthesis</t>
        </is>
      </c>
    </row>
    <row r="2">
      <c r="A2" s="2" t="inlineStr">
        <is>
          <t>Status values: To validate · Supported · Partly supported · Contradicted. Evidence count = interviews/survey items supporting.</t>
        </is>
      </c>
    </row>
    <row r="4">
      <c r="A4" s="3" t="inlineStr">
        <is>
          <t>#</t>
        </is>
      </c>
      <c r="B4" s="3" t="inlineStr">
        <is>
          <t>Hypothesis</t>
        </is>
      </c>
      <c r="C4" s="3" t="inlineStr">
        <is>
          <t>Linked persona(s)</t>
        </is>
      </c>
      <c r="D4" s="3" t="inlineStr">
        <is>
          <t>Evidence needed</t>
        </is>
      </c>
      <c r="E4" s="3" t="inlineStr">
        <is>
          <t>Evidence count (+)</t>
        </is>
      </c>
      <c r="F4" s="3" t="inlineStr">
        <is>
          <t>Evidence count (−)</t>
        </is>
      </c>
      <c r="G4" s="3" t="inlineStr">
        <is>
          <t>Status</t>
        </is>
      </c>
      <c r="H4" s="3" t="inlineStr">
        <is>
          <t>Insight / implication</t>
        </is>
      </c>
    </row>
    <row r="5">
      <c r="A5" s="4" t="inlineStr">
        <is>
          <t>H1</t>
        </is>
      </c>
      <c r="B5" s="4" t="inlineStr">
        <is>
          <t>First-pass market studies take weeks and are mostly data assembly</t>
        </is>
      </c>
      <c r="C5" s="4" t="inlineStr">
        <is>
          <t>A, C</t>
        </is>
      </c>
      <c r="D5" s="4" t="inlineStr">
        <is>
          <t>Q6, interviews: time breakdown</t>
        </is>
      </c>
      <c r="E5" s="30" t="n">
        <v>0</v>
      </c>
      <c r="F5" s="30" t="n">
        <v>0</v>
      </c>
      <c r="G5" s="30" t="inlineStr">
        <is>
          <t>To validate</t>
        </is>
      </c>
      <c r="H5" s="30" t="inlineStr"/>
    </row>
    <row r="6">
      <c r="A6" s="4" t="inlineStr">
        <is>
          <t>H2</t>
        </is>
      </c>
      <c r="B6" s="4" t="inlineStr">
        <is>
          <t>Implicit weighting causes leadership to challenge recommendations</t>
        </is>
      </c>
      <c r="C6" s="4" t="inlineStr">
        <is>
          <t>A, F</t>
        </is>
      </c>
      <c r="D6" s="4" t="inlineStr">
        <is>
          <t>Q9 ≥ 3.5 avg; interview stories</t>
        </is>
      </c>
      <c r="E6" s="30" t="n">
        <v>0</v>
      </c>
      <c r="F6" s="30" t="n">
        <v>0</v>
      </c>
      <c r="G6" s="30" t="inlineStr">
        <is>
          <t>To validate</t>
        </is>
      </c>
      <c r="H6" s="30" t="inlineStr"/>
    </row>
    <row r="7">
      <c r="A7" s="4" t="inlineStr">
        <is>
          <t>H3</t>
        </is>
      </c>
      <c r="B7" s="4" t="inlineStr">
        <is>
          <t>Tariff/regulation changes are noticed late and cost money</t>
        </is>
      </c>
      <c r="C7" s="4" t="inlineStr">
        <is>
          <t>B, D</t>
        </is>
      </c>
      <c r="D7" s="4" t="inlineStr">
        <is>
          <t>Q10; examples of late discovery</t>
        </is>
      </c>
      <c r="E7" s="30" t="n">
        <v>0</v>
      </c>
      <c r="F7" s="30" t="n">
        <v>0</v>
      </c>
      <c r="G7" s="30" t="inlineStr">
        <is>
          <t>To validate</t>
        </is>
      </c>
      <c r="H7" s="30" t="inlineStr"/>
    </row>
    <row r="8">
      <c r="A8" s="4" t="inlineStr">
        <is>
          <t>H4</t>
        </is>
      </c>
      <c r="B8" s="4" t="inlineStr">
        <is>
          <t>Users trust AI insights if every number is sourced</t>
        </is>
      </c>
      <c r="C8" s="4" t="inlineStr">
        <is>
          <t>All</t>
        </is>
      </c>
      <c r="D8" s="4" t="inlineStr">
        <is>
          <t>Q18 top-2-box ≥ 60%</t>
        </is>
      </c>
      <c r="E8" s="30" t="n">
        <v>0</v>
      </c>
      <c r="F8" s="30" t="n">
        <v>0</v>
      </c>
      <c r="G8" s="30" t="inlineStr">
        <is>
          <t>To validate</t>
        </is>
      </c>
      <c r="H8" s="30" t="inlineStr"/>
    </row>
    <row r="9">
      <c r="A9" s="4" t="inlineStr">
        <is>
          <t>H5</t>
        </is>
      </c>
      <c r="B9" s="4" t="inlineStr">
        <is>
          <t>Robustness (P(TOP3)) is valued over a single ranked list</t>
        </is>
      </c>
      <c r="C9" s="4" t="inlineStr">
        <is>
          <t>A, F</t>
        </is>
      </c>
      <c r="D9" s="4" t="inlineStr">
        <is>
          <t>Q14 ≥ Q13; concept test</t>
        </is>
      </c>
      <c r="E9" s="30" t="n">
        <v>0</v>
      </c>
      <c r="F9" s="30" t="n">
        <v>0</v>
      </c>
      <c r="G9" s="30" t="inlineStr">
        <is>
          <t>To validate</t>
        </is>
      </c>
      <c r="H9" s="30" t="inlineStr"/>
    </row>
    <row r="10">
      <c r="A10" s="4" t="inlineStr">
        <is>
          <t>H6</t>
        </is>
      </c>
      <c r="B10" s="4" t="inlineStr">
        <is>
          <t>Monitoring alerts create value between studies</t>
        </is>
      </c>
      <c r="C10" s="4" t="inlineStr">
        <is>
          <t>B, D, E</t>
        </is>
      </c>
      <c r="D10" s="4" t="inlineStr">
        <is>
          <t>Q16; pilot willingness</t>
        </is>
      </c>
      <c r="E10" s="30" t="n">
        <v>0</v>
      </c>
      <c r="F10" s="30" t="n">
        <v>0</v>
      </c>
      <c r="G10" s="30" t="inlineStr">
        <is>
          <t>To validate</t>
        </is>
      </c>
      <c r="H10" s="30" t="inlineStr"/>
    </row>
    <row r="11">
      <c r="A11" s="4" t="inlineStr">
        <is>
          <t>H7</t>
        </is>
      </c>
      <c r="B11" s="4" t="inlineStr">
        <is>
          <t>Korean-language support is required for adoption</t>
        </is>
      </c>
      <c r="C11" s="4" t="inlineStr">
        <is>
          <t>B, D</t>
        </is>
      </c>
      <c r="D11" s="4" t="inlineStr">
        <is>
          <t>Q19 'Language support' share; interviews</t>
        </is>
      </c>
      <c r="E11" s="30" t="n">
        <v>0</v>
      </c>
      <c r="F11" s="30" t="n">
        <v>0</v>
      </c>
      <c r="G11" s="30" t="inlineStr">
        <is>
          <t>To validate</t>
        </is>
      </c>
      <c r="H11" s="30" t="inlineStr"/>
    </row>
    <row r="12">
      <c r="A12" s="4" t="inlineStr">
        <is>
          <t>H8</t>
        </is>
      </c>
      <c r="B12" s="4" t="inlineStr">
        <is>
          <t>Data security is the main blocker for internal-data integration (Horizon 2)</t>
        </is>
      </c>
      <c r="C12" s="4" t="inlineStr">
        <is>
          <t>F, G</t>
        </is>
      </c>
      <c r="D12" s="4" t="inlineStr">
        <is>
          <t>Q19 'Data security' share</t>
        </is>
      </c>
      <c r="E12" s="30" t="n">
        <v>0</v>
      </c>
      <c r="F12" s="30" t="n">
        <v>0</v>
      </c>
      <c r="G12" s="30" t="inlineStr">
        <is>
          <t>To validate</t>
        </is>
      </c>
      <c r="H12" s="30" t="inlineStr"/>
    </row>
    <row r="13">
      <c r="A13" s="4" t="inlineStr">
        <is>
          <t>H9</t>
        </is>
      </c>
      <c r="B13" s="4" t="inlineStr">
        <is>
          <t>Export-support organisations would use it for SME advisory (Horizon 3)</t>
        </is>
      </c>
      <c r="C13" s="4" t="inlineStr">
        <is>
          <t>Advisor</t>
        </is>
      </c>
      <c r="D13" s="4" t="inlineStr">
        <is>
          <t>Interviews with aT/KOTRA desks</t>
        </is>
      </c>
      <c r="E13" s="30" t="n">
        <v>0</v>
      </c>
      <c r="F13" s="30" t="n">
        <v>0</v>
      </c>
      <c r="G13" s="30" t="inlineStr">
        <is>
          <t>To validate</t>
        </is>
      </c>
      <c r="H13" s="30" t="inlineStr"/>
    </row>
  </sheetData>
  <dataValidations count="1">
    <dataValidation sqref="G5:G13" showDropDown="0" showInputMessage="0" showErrorMessage="0" allowBlank="0" type="list">
      <formula1>"To validate,Supported,Partly supported,Contradicted"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pane xSplit="7" ySplit="4" topLeftCell="H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8" customWidth="1" min="2" max="2"/>
    <col width="8" customWidth="1" min="3" max="3"/>
    <col width="14" customWidth="1" min="4" max="4"/>
    <col width="11" customWidth="1" min="5" max="5"/>
    <col width="11" customWidth="1" min="6" max="6"/>
    <col width="30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</cols>
  <sheetData>
    <row r="1">
      <c r="A1" s="1" t="inlineStr">
        <is>
          <t>High-level roadmap (anticipated windows; re-baseline to the official challenge schedule)</t>
        </is>
      </c>
    </row>
    <row r="3" hidden="1">
      <c r="H3" s="38" t="n">
        <v>46296</v>
      </c>
      <c r="I3" s="38" t="n">
        <v>46327</v>
      </c>
      <c r="J3" s="38" t="n">
        <v>46357</v>
      </c>
      <c r="K3" s="38" t="n">
        <v>46388</v>
      </c>
      <c r="L3" s="38" t="n">
        <v>46419</v>
      </c>
      <c r="M3" s="38" t="n">
        <v>46447</v>
      </c>
      <c r="N3" s="38" t="n">
        <v>46478</v>
      </c>
      <c r="O3" s="38" t="n">
        <v>46508</v>
      </c>
      <c r="P3" s="38" t="n">
        <v>46539</v>
      </c>
      <c r="Q3" s="38" t="n">
        <v>46569</v>
      </c>
      <c r="R3" s="38" t="n">
        <v>46600</v>
      </c>
      <c r="S3" s="38" t="n">
        <v>46631</v>
      </c>
      <c r="T3" s="38" t="n">
        <v>46661</v>
      </c>
      <c r="U3" s="38" t="n">
        <v>46692</v>
      </c>
      <c r="V3" s="38" t="n">
        <v>46722</v>
      </c>
      <c r="W3" s="38" t="n">
        <v>46753</v>
      </c>
      <c r="X3" s="38" t="n">
        <v>46784</v>
      </c>
      <c r="Y3" s="38" t="n">
        <v>46813</v>
      </c>
      <c r="Z3" s="38" t="n">
        <v>46844</v>
      </c>
      <c r="AA3" s="38" t="n">
        <v>46874</v>
      </c>
      <c r="AB3" s="38" t="n">
        <v>46905</v>
      </c>
      <c r="AC3" s="38" t="n">
        <v>46935</v>
      </c>
      <c r="AD3" s="38" t="n">
        <v>46966</v>
      </c>
      <c r="AE3" s="38" t="n">
        <v>46997</v>
      </c>
      <c r="AF3" s="38" t="n">
        <v>47027</v>
      </c>
      <c r="AG3" s="38" t="n">
        <v>47058</v>
      </c>
      <c r="AH3" s="38" t="n">
        <v>47088</v>
      </c>
    </row>
    <row r="4">
      <c r="A4" s="3" t="inlineStr">
        <is>
          <t>ID</t>
        </is>
      </c>
      <c r="B4" s="3" t="inlineStr">
        <is>
          <t>Release / milestone</t>
        </is>
      </c>
      <c r="C4" s="3" t="inlineStr">
        <is>
          <t>Horizon</t>
        </is>
      </c>
      <c r="D4" s="3" t="inlineStr">
        <is>
          <t>Theme</t>
        </is>
      </c>
      <c r="E4" s="3" t="inlineStr">
        <is>
          <t>Start</t>
        </is>
      </c>
      <c r="F4" s="3" t="inlineStr">
        <is>
          <t>Finish</t>
        </is>
      </c>
      <c r="G4" s="3" t="inlineStr">
        <is>
          <t>Client objective</t>
        </is>
      </c>
      <c r="H4" s="3" t="inlineStr">
        <is>
          <t>26-10</t>
        </is>
      </c>
      <c r="I4" s="3" t="inlineStr">
        <is>
          <t>26-11</t>
        </is>
      </c>
      <c r="J4" s="3" t="inlineStr">
        <is>
          <t>26-12</t>
        </is>
      </c>
      <c r="K4" s="3" t="inlineStr">
        <is>
          <t>27-01</t>
        </is>
      </c>
      <c r="L4" s="3" t="inlineStr">
        <is>
          <t>27-02</t>
        </is>
      </c>
      <c r="M4" s="3" t="inlineStr">
        <is>
          <t>27-03</t>
        </is>
      </c>
      <c r="N4" s="3" t="inlineStr">
        <is>
          <t>27-04</t>
        </is>
      </c>
      <c r="O4" s="3" t="inlineStr">
        <is>
          <t>27-05</t>
        </is>
      </c>
      <c r="P4" s="3" t="inlineStr">
        <is>
          <t>27-06</t>
        </is>
      </c>
      <c r="Q4" s="3" t="inlineStr">
        <is>
          <t>27-07</t>
        </is>
      </c>
      <c r="R4" s="3" t="inlineStr">
        <is>
          <t>27-08</t>
        </is>
      </c>
      <c r="S4" s="3" t="inlineStr">
        <is>
          <t>27-09</t>
        </is>
      </c>
      <c r="T4" s="3" t="inlineStr">
        <is>
          <t>27-10</t>
        </is>
      </c>
      <c r="U4" s="3" t="inlineStr">
        <is>
          <t>27-11</t>
        </is>
      </c>
      <c r="V4" s="3" t="inlineStr">
        <is>
          <t>27-12</t>
        </is>
      </c>
      <c r="W4" s="3" t="inlineStr">
        <is>
          <t>28-01</t>
        </is>
      </c>
      <c r="X4" s="3" t="inlineStr">
        <is>
          <t>28-02</t>
        </is>
      </c>
      <c r="Y4" s="3" t="inlineStr">
        <is>
          <t>28-03</t>
        </is>
      </c>
      <c r="Z4" s="3" t="inlineStr">
        <is>
          <t>28-04</t>
        </is>
      </c>
      <c r="AA4" s="3" t="inlineStr">
        <is>
          <t>28-05</t>
        </is>
      </c>
      <c r="AB4" s="3" t="inlineStr">
        <is>
          <t>28-06</t>
        </is>
      </c>
      <c r="AC4" s="3" t="inlineStr">
        <is>
          <t>28-07</t>
        </is>
      </c>
      <c r="AD4" s="3" t="inlineStr">
        <is>
          <t>28-08</t>
        </is>
      </c>
      <c r="AE4" s="3" t="inlineStr">
        <is>
          <t>28-09</t>
        </is>
      </c>
      <c r="AF4" s="3" t="inlineStr">
        <is>
          <t>28-10</t>
        </is>
      </c>
      <c r="AG4" s="3" t="inlineStr">
        <is>
          <t>28-11</t>
        </is>
      </c>
      <c r="AH4" s="3" t="inlineStr">
        <is>
          <t>28-12</t>
        </is>
      </c>
    </row>
    <row r="5">
      <c r="A5" s="27" t="inlineStr">
        <is>
          <t>H1</t>
        </is>
      </c>
      <c r="B5" s="27" t="inlineStr">
        <is>
          <t>Horizon 1 — Prove (Lotte AX Challenge)</t>
        </is>
      </c>
      <c r="C5" s="27" t="inlineStr">
        <is>
          <t>H1</t>
        </is>
      </c>
      <c r="D5" s="27" t="inlineStr">
        <is>
          <t>Summary</t>
        </is>
      </c>
      <c r="E5" s="39" t="n">
        <v>46321</v>
      </c>
      <c r="F5" s="39" t="n">
        <v>46486</v>
      </c>
      <c r="G5" s="27" t="inlineStr"/>
    </row>
    <row r="6">
      <c r="A6" s="5" t="inlineStr">
        <is>
          <t>R0</t>
        </is>
      </c>
      <c r="B6" s="5" t="inlineStr">
        <is>
          <t>R0 Discovery &amp; PM artefacts</t>
        </is>
      </c>
      <c r="C6" s="5" t="inlineStr">
        <is>
          <t>H1</t>
        </is>
      </c>
      <c r="D6" s="5" t="inlineStr">
        <is>
          <t>Product</t>
        </is>
      </c>
      <c r="E6" s="40" t="n">
        <v>46321</v>
      </c>
      <c r="F6" s="40" t="n">
        <v>46325</v>
      </c>
      <c r="G6" s="5" t="inlineStr">
        <is>
          <t>Grounded problem &amp; requirements</t>
        </is>
      </c>
    </row>
    <row r="7">
      <c r="A7" s="5" t="inlineStr">
        <is>
          <t>M1</t>
        </is>
      </c>
      <c r="B7" s="5" t="inlineStr">
        <is>
          <t>M1 Data foundation (schema, pipeline, provenance, tariffs)</t>
        </is>
      </c>
      <c r="C7" s="5" t="inlineStr">
        <is>
          <t>H1</t>
        </is>
      </c>
      <c r="D7" s="5" t="inlineStr">
        <is>
          <t>Data</t>
        </is>
      </c>
      <c r="E7" s="40" t="n">
        <v>46328</v>
      </c>
      <c r="F7" s="40" t="n">
        <v>46339</v>
      </c>
      <c r="G7" s="5" t="inlineStr">
        <is>
          <t>Trusted evidence base</t>
        </is>
      </c>
    </row>
    <row r="8">
      <c r="A8" s="5" t="inlineStr">
        <is>
          <t>M2</t>
        </is>
      </c>
      <c r="B8" s="5" t="inlineStr">
        <is>
          <t>M2 Scoring, P(TOP3), presets, forecast engine</t>
        </is>
      </c>
      <c r="C8" s="5" t="inlineStr">
        <is>
          <t>H1</t>
        </is>
      </c>
      <c r="D8" s="5" t="inlineStr">
        <is>
          <t>Intelligence</t>
        </is>
      </c>
      <c r="E8" s="40" t="n">
        <v>46342</v>
      </c>
      <c r="F8" s="40" t="n">
        <v>46353</v>
      </c>
      <c r="G8" s="5" t="inlineStr">
        <is>
          <t>Defensible TOP3</t>
        </is>
      </c>
    </row>
    <row r="9">
      <c r="A9" s="5" t="inlineStr">
        <is>
          <t>M3</t>
        </is>
      </c>
      <c r="B9" s="5" t="inlineStr">
        <is>
          <t>M3 API + dashboard MVP (KO/EN, warm-up)</t>
        </is>
      </c>
      <c r="C9" s="5" t="inlineStr">
        <is>
          <t>H1</t>
        </is>
      </c>
      <c r="D9" s="5" t="inlineStr">
        <is>
          <t>Experience</t>
        </is>
      </c>
      <c r="E9" s="40" t="n">
        <v>46356</v>
      </c>
      <c r="F9" s="40" t="n">
        <v>46367</v>
      </c>
      <c r="G9" s="5" t="inlineStr">
        <is>
          <t>Decision speed</t>
        </is>
      </c>
    </row>
    <row r="10">
      <c r="A10" s="5" t="inlineStr">
        <is>
          <t>M4</t>
        </is>
      </c>
      <c r="B10" s="5" t="inlineStr">
        <is>
          <t>M4 AI agent, verifier, regulation RAG, TOP3 report</t>
        </is>
      </c>
      <c r="C10" s="5" t="inlineStr">
        <is>
          <t>H1</t>
        </is>
      </c>
      <c r="D10" s="5" t="inlineStr">
        <is>
          <t>AI agent</t>
        </is>
      </c>
      <c r="E10" s="40" t="n">
        <v>46370</v>
      </c>
      <c r="F10" s="40" t="n">
        <v>46395</v>
      </c>
      <c r="G10" s="5" t="inlineStr">
        <is>
          <t>Trusted AI answers</t>
        </is>
      </c>
    </row>
    <row r="11">
      <c r="A11" s="5" t="inlineStr">
        <is>
          <t>R10</t>
        </is>
      </c>
      <c r="B11" s="5" t="inlineStr">
        <is>
          <t>◆ R1.0 예선 demo-ready</t>
        </is>
      </c>
      <c r="C11" s="5" t="inlineStr">
        <is>
          <t>H1</t>
        </is>
      </c>
      <c r="D11" s="5" t="inlineStr">
        <is>
          <t>Milestone</t>
        </is>
      </c>
      <c r="E11" s="40" t="n">
        <v>46395</v>
      </c>
      <c r="F11" s="40" t="n">
        <v>46395</v>
      </c>
      <c r="G11" s="5" t="inlineStr"/>
    </row>
    <row r="12">
      <c r="A12" s="5" t="inlineStr">
        <is>
          <t>M5</t>
        </is>
      </c>
      <c r="B12" s="5" t="inlineStr">
        <is>
          <t>M5 Monitoring: auth, daily refresh, alerts, simulation</t>
        </is>
      </c>
      <c r="C12" s="5" t="inlineStr">
        <is>
          <t>H1</t>
        </is>
      </c>
      <c r="D12" s="5" t="inlineStr">
        <is>
          <t>Monitoring</t>
        </is>
      </c>
      <c r="E12" s="40" t="n">
        <v>46398</v>
      </c>
      <c r="F12" s="40" t="n">
        <v>46416</v>
      </c>
      <c r="G12" s="5" t="inlineStr">
        <is>
          <t>Market visibility</t>
        </is>
      </c>
    </row>
    <row r="13">
      <c r="A13" s="5" t="inlineStr">
        <is>
          <t>M6</t>
        </is>
      </c>
      <c r="B13" s="5" t="inlineStr">
        <is>
          <t>M6 Evaluation reports, time-savings, proposal, video</t>
        </is>
      </c>
      <c r="C13" s="5" t="inlineStr">
        <is>
          <t>H1</t>
        </is>
      </c>
      <c r="D13" s="5" t="inlineStr">
        <is>
          <t>Product</t>
        </is>
      </c>
      <c r="E13" s="40" t="n">
        <v>46419</v>
      </c>
      <c r="F13" s="40" t="n">
        <v>46430</v>
      </c>
      <c r="G13" s="5" t="inlineStr">
        <is>
          <t>Credible impact claims</t>
        </is>
      </c>
    </row>
    <row r="14">
      <c r="A14" s="5" t="inlineStr">
        <is>
          <t>R11</t>
        </is>
      </c>
      <c r="B14" s="5" t="inlineStr">
        <is>
          <t>◆ R1.1 예선 submission (anticipated)</t>
        </is>
      </c>
      <c r="C14" s="5" t="inlineStr">
        <is>
          <t>H1</t>
        </is>
      </c>
      <c r="D14" s="5" t="inlineStr">
        <is>
          <t>Milestone</t>
        </is>
      </c>
      <c r="E14" s="40" t="n">
        <v>46430</v>
      </c>
      <c r="F14" s="40" t="n">
        <v>46430</v>
      </c>
      <c r="G14" s="5" t="inlineStr"/>
    </row>
    <row r="15">
      <c r="A15" s="5" t="inlineStr">
        <is>
          <t>R20</t>
        </is>
      </c>
      <c r="B15" s="5" t="inlineStr">
        <is>
          <t>R2.0 본선 prototype: Lotte field data, product mapping</t>
        </is>
      </c>
      <c r="C15" s="5" t="inlineStr">
        <is>
          <t>H1</t>
        </is>
      </c>
      <c r="D15" s="5" t="inlineStr">
        <is>
          <t>Data</t>
        </is>
      </c>
      <c r="E15" s="40" t="n">
        <v>46447</v>
      </c>
      <c r="F15" s="40" t="n">
        <v>46479</v>
      </c>
      <c r="G15" s="5" t="inlineStr">
        <is>
          <t>Internal data loop</t>
        </is>
      </c>
    </row>
    <row r="16">
      <c r="A16" s="5" t="inlineStr">
        <is>
          <t>R2M</t>
        </is>
      </c>
      <c r="B16" s="5" t="inlineStr">
        <is>
          <t>◆ 본선 demo (anticipated)</t>
        </is>
      </c>
      <c r="C16" s="5" t="inlineStr">
        <is>
          <t>H1</t>
        </is>
      </c>
      <c r="D16" s="5" t="inlineStr">
        <is>
          <t>Milestone</t>
        </is>
      </c>
      <c r="E16" s="40" t="n">
        <v>46486</v>
      </c>
      <c r="F16" s="40" t="n">
        <v>46486</v>
      </c>
      <c r="G16" s="5" t="inlineStr"/>
    </row>
    <row r="17">
      <c r="A17" s="27" t="inlineStr">
        <is>
          <t>H2</t>
        </is>
      </c>
      <c r="B17" s="27" t="inlineStr">
        <is>
          <t>Horizon 2 — Embed (pilot at Lotte Wellfood)</t>
        </is>
      </c>
      <c r="C17" s="27" t="inlineStr">
        <is>
          <t>H2</t>
        </is>
      </c>
      <c r="D17" s="27" t="inlineStr">
        <is>
          <t>Summary</t>
        </is>
      </c>
      <c r="E17" s="39" t="n">
        <v>46510</v>
      </c>
      <c r="F17" s="39" t="n">
        <v>46721</v>
      </c>
      <c r="G17" s="27" t="inlineStr"/>
    </row>
    <row r="18">
      <c r="A18" s="5" t="inlineStr">
        <is>
          <t>R30</t>
        </is>
      </c>
      <c r="B18" s="5" t="inlineStr">
        <is>
          <t>R3.0 Enterprise pilot: SSO, security review, internal sales connector</t>
        </is>
      </c>
      <c r="C18" s="5" t="inlineStr">
        <is>
          <t>H2</t>
        </is>
      </c>
      <c r="D18" s="5" t="inlineStr">
        <is>
          <t>Platform</t>
        </is>
      </c>
      <c r="E18" s="40" t="n">
        <v>46510</v>
      </c>
      <c r="F18" s="40" t="n">
        <v>46598</v>
      </c>
      <c r="G18" s="5" t="inlineStr">
        <is>
          <t>Overseas share 35% by 2028</t>
        </is>
      </c>
    </row>
    <row r="19">
      <c r="A19" s="5" t="inlineStr">
        <is>
          <t>R31</t>
        </is>
      </c>
      <c r="B19" s="5" t="inlineStr">
        <is>
          <t>R3.1 Product × market × entry-mode economics (Pepero, ZERO, ice cream)</t>
        </is>
      </c>
      <c r="C19" s="5" t="inlineStr">
        <is>
          <t>H2</t>
        </is>
      </c>
      <c r="D19" s="5" t="inlineStr">
        <is>
          <t>Intelligence</t>
        </is>
      </c>
      <c r="E19" s="40" t="n">
        <v>46539</v>
      </c>
      <c r="F19" s="40" t="n">
        <v>46626</v>
      </c>
      <c r="G19" s="5" t="inlineStr">
        <is>
          <t>Pepero global mega brand</t>
        </is>
      </c>
    </row>
    <row r="20">
      <c r="A20" s="5" t="inlineStr">
        <is>
          <t>R40</t>
        </is>
      </c>
      <c r="B20" s="5" t="inlineStr">
        <is>
          <t>R4.0 Production rollout; used in annual market-priority review</t>
        </is>
      </c>
      <c r="C20" s="5" t="inlineStr">
        <is>
          <t>H2</t>
        </is>
      </c>
      <c r="D20" s="5" t="inlineStr">
        <is>
          <t>Platform</t>
        </is>
      </c>
      <c r="E20" s="40" t="n">
        <v>46631</v>
      </c>
      <c r="F20" s="40" t="n">
        <v>46721</v>
      </c>
      <c r="G20" s="5" t="inlineStr">
        <is>
          <t>Disciplined portfolio decisions</t>
        </is>
      </c>
    </row>
    <row r="21">
      <c r="A21" s="5" t="inlineStr">
        <is>
          <t>R4M</t>
        </is>
      </c>
      <c r="B21" s="5" t="inlineStr">
        <is>
          <t>◆ R4.0 in production</t>
        </is>
      </c>
      <c r="C21" s="5" t="inlineStr">
        <is>
          <t>H2</t>
        </is>
      </c>
      <c r="D21" s="5" t="inlineStr">
        <is>
          <t>Milestone</t>
        </is>
      </c>
      <c r="E21" s="40" t="n">
        <v>46721</v>
      </c>
      <c r="F21" s="40" t="n">
        <v>46721</v>
      </c>
      <c r="G21" s="5" t="inlineStr"/>
    </row>
    <row r="22">
      <c r="A22" s="27" t="inlineStr">
        <is>
          <t>H3</t>
        </is>
      </c>
      <c r="B22" s="27" t="inlineStr">
        <is>
          <t>Horizon 3 — Scale (multi-tenant SaaS)</t>
        </is>
      </c>
      <c r="C22" s="27" t="inlineStr">
        <is>
          <t>H3</t>
        </is>
      </c>
      <c r="D22" s="27" t="inlineStr">
        <is>
          <t>Summary</t>
        </is>
      </c>
      <c r="E22" s="39" t="n">
        <v>46755</v>
      </c>
      <c r="F22" s="39" t="n">
        <v>47118</v>
      </c>
      <c r="G22" s="27" t="inlineStr"/>
    </row>
    <row r="23">
      <c r="A23" s="5" t="inlineStr">
        <is>
          <t>R50</t>
        </is>
      </c>
      <c r="B23" s="5" t="inlineStr">
        <is>
          <t>R5.0 Multi-tenant SaaS beta; new categories; premium data connectors</t>
        </is>
      </c>
      <c r="C23" s="5" t="inlineStr">
        <is>
          <t>H3</t>
        </is>
      </c>
      <c r="D23" s="5" t="inlineStr">
        <is>
          <t>Platform</t>
        </is>
      </c>
      <c r="E23" s="40" t="n">
        <v>46755</v>
      </c>
      <c r="F23" s="40" t="n">
        <v>46934</v>
      </c>
      <c r="G23" s="5" t="inlineStr">
        <is>
          <t>Scale beyond one company</t>
        </is>
      </c>
    </row>
    <row r="24">
      <c r="A24" s="5" t="inlineStr">
        <is>
          <t>R51</t>
        </is>
      </c>
      <c r="B24" s="5" t="inlineStr">
        <is>
          <t>R5.1 Export-support organisation pilot</t>
        </is>
      </c>
      <c r="C24" s="5" t="inlineStr">
        <is>
          <t>H3</t>
        </is>
      </c>
      <c r="D24" s="5" t="inlineStr">
        <is>
          <t>GTM</t>
        </is>
      </c>
      <c r="E24" s="40" t="n">
        <v>46846</v>
      </c>
      <c r="F24" s="40" t="n">
        <v>47025</v>
      </c>
      <c r="G24" s="5" t="inlineStr">
        <is>
          <t>SME export enablement</t>
        </is>
      </c>
    </row>
    <row r="25">
      <c r="A25" s="5" t="inlineStr">
        <is>
          <t>R60</t>
        </is>
      </c>
      <c r="B25" s="5" t="inlineStr">
        <is>
          <t>◆ R6.0 General availability</t>
        </is>
      </c>
      <c r="C25" s="5" t="inlineStr">
        <is>
          <t>H3</t>
        </is>
      </c>
      <c r="D25" s="5" t="inlineStr">
        <is>
          <t>Milestone</t>
        </is>
      </c>
      <c r="E25" s="40" t="n">
        <v>47102</v>
      </c>
      <c r="F25" s="40" t="n">
        <v>47102</v>
      </c>
      <c r="G25" s="5" t="inlineStr"/>
    </row>
    <row r="26">
      <c r="A26" s="5" t="inlineStr">
        <is>
          <t>OBJ</t>
        </is>
      </c>
      <c r="B26" s="5" t="inlineStr">
        <is>
          <t>◆ Client objective: Lotte overseas revenue share 35% (2028)</t>
        </is>
      </c>
      <c r="C26" s="5" t="inlineStr">
        <is>
          <t>H3</t>
        </is>
      </c>
      <c r="D26" s="5" t="inlineStr">
        <is>
          <t>Client objective</t>
        </is>
      </c>
      <c r="E26" s="40" t="n">
        <v>47118</v>
      </c>
      <c r="F26" s="40" t="n">
        <v>47118</v>
      </c>
      <c r="G26" s="5" t="inlineStr"/>
    </row>
  </sheetData>
  <conditionalFormatting sqref="H5:AH26">
    <cfRule type="expression" priority="1" dxfId="0">
      <formula>AND($D5="Milestone",$E5&gt;=H$3,$E5&lt;EDATE(H$3,1))</formula>
    </cfRule>
    <cfRule type="expression" priority="2" dxfId="1">
      <formula>AND($D5="Client objective",$E5&gt;=H$3,$E5&lt;EDATE(H$3,1))</formula>
    </cfRule>
    <cfRule type="expression" priority="3" dxfId="2">
      <formula>AND($D5="Summary",$E5&lt;EDATE(H$3,1),$F5&gt;=H$3)</formula>
    </cfRule>
    <cfRule type="expression" priority="4" dxfId="3">
      <formula>AND($E5&lt;EDATE(H$3,1),$F5&gt;=H$3)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2026-10-29T04:18:04Z</dcterms:created>
  <dcterms:modified xmlns:dcterms="http://purl.org/dc/terms/" xmlns:xsi="http://www.w3.org/2001/XMLSchema-instance" xsi:type="dcterms:W3CDTF">2026-10-29T04:18:05Z</dcterms:modified>
</cp:coreProperties>
</file>